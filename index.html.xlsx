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corallife806.sharepoint.com/sites/CoralLife2/Document Sharing/BA - Solution Design/1_Non-Project/7_Engineer/IAQ Solution/0_ERV Management/2_Construction Management/Dashboard/"/>
    </mc:Choice>
  </mc:AlternateContent>
  <xr:revisionPtr revIDLastSave="49" documentId="13_ncr:1_{4D5E45EE-EAC0-4096-82D3-C82E547233F2}" xr6:coauthVersionLast="47" xr6:coauthVersionMax="47" xr10:uidLastSave="{3276A669-893A-4488-8791-EDE67B210EDF}"/>
  <bookViews>
    <workbookView xWindow="-108" yWindow="-108" windowWidth="23256" windowHeight="12456" xr2:uid="{00000000-000D-0000-FFFF-FFFF00000000}"/>
  </bookViews>
  <sheets>
    <sheet name="Master Schedule" sheetId="1" r:id="rId1"/>
    <sheet name="Summary Report" sheetId="2" r:id="rId2"/>
    <sheet name="Site Visit Log" sheetId="3" r:id="rId3"/>
  </sheets>
  <externalReferences>
    <externalReference r:id="rId4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2" l="1"/>
  <c r="G10" i="2"/>
  <c r="G19" i="2"/>
  <c r="G18" i="2"/>
  <c r="G5" i="2"/>
  <c r="P19" i="2"/>
  <c r="E11" i="2"/>
  <c r="P6" i="2"/>
  <c r="P18" i="2"/>
  <c r="E18" i="2"/>
  <c r="P17" i="2"/>
  <c r="G17" i="2"/>
  <c r="E17" i="2"/>
  <c r="P16" i="2"/>
  <c r="G16" i="2"/>
  <c r="E16" i="2"/>
  <c r="P15" i="2"/>
  <c r="G15" i="2"/>
  <c r="E15" i="2"/>
  <c r="P14" i="2"/>
  <c r="G14" i="2"/>
  <c r="E14" i="2"/>
  <c r="P13" i="2"/>
  <c r="G13" i="2"/>
  <c r="E13" i="2"/>
  <c r="P12" i="2"/>
  <c r="G12" i="2"/>
  <c r="E12" i="2"/>
  <c r="P11" i="2"/>
  <c r="G11" i="2"/>
  <c r="P10" i="2"/>
  <c r="E10" i="2"/>
  <c r="G9" i="2"/>
  <c r="E9" i="2"/>
  <c r="P8" i="2"/>
  <c r="G8" i="2"/>
  <c r="E8" i="2"/>
  <c r="P7" i="2"/>
  <c r="G7" i="2"/>
  <c r="E7" i="2"/>
  <c r="G6" i="2"/>
  <c r="E6" i="2"/>
  <c r="P5" i="2"/>
  <c r="E5" i="2"/>
</calcChain>
</file>

<file path=xl/sharedStrings.xml><?xml version="1.0" encoding="utf-8"?>
<sst xmlns="http://schemas.openxmlformats.org/spreadsheetml/2006/main" count="196" uniqueCount="71">
  <si>
    <t>MASTER SCHEDULE</t>
  </si>
  <si>
    <t>One project = 2 sub-rows: Row 1 = Construction Period 1, Row 2 = Construction Period 2 — the Project Name and Delivery Date in columns A and G are merged as group headers for each project</t>
  </si>
  <si>
    <t>Project Name</t>
  </si>
  <si>
    <t>Phase</t>
  </si>
  <si>
    <t>Start Date</t>
  </si>
  <si>
    <t>End Date</t>
  </si>
  <si>
    <t>% Complete</t>
  </si>
  <si>
    <t>Status</t>
  </si>
  <si>
    <t>Delivery Date</t>
  </si>
  <si>
    <t>Remarks</t>
  </si>
  <si>
    <t>Sukhumvit 77 Prawet Residence</t>
  </si>
  <si>
    <t>Frist Fix</t>
  </si>
  <si>
    <t>Completed</t>
  </si>
  <si>
    <t>Second Fix</t>
  </si>
  <si>
    <t>หมู่บ้านมัณฑนา</t>
  </si>
  <si>
    <t>On Hold</t>
  </si>
  <si>
    <t>-</t>
  </si>
  <si>
    <t>สำนักงานบริษัท เอส.บี.-ซีร่า จำกัดพระราม2</t>
  </si>
  <si>
    <t>Ventier courtyard ชั้น 3</t>
  </si>
  <si>
    <t>บ้านคุณยู้เขาใหญ่</t>
  </si>
  <si>
    <t>บ้านคุณอิสระ</t>
  </si>
  <si>
    <t>S’rin House</t>
  </si>
  <si>
    <t>Construction</t>
  </si>
  <si>
    <t>บ้านคุณปุกกี้</t>
  </si>
  <si>
    <t xml:space="preserve">บ้านบางบอน5ซอย7 </t>
  </si>
  <si>
    <t>PhanasonSamutprakhan Residence</t>
  </si>
  <si>
    <t>P'Gummy @Sildrom Residence FL.21</t>
  </si>
  <si>
    <t>HUAY KWANG RESIDENCE</t>
  </si>
  <si>
    <t>Granpix</t>
  </si>
  <si>
    <t>บ้านคุณอู BUGAAN พัฒนาการ</t>
  </si>
  <si>
    <t>บ้านคุณเต้ย</t>
  </si>
  <si>
    <t>Khun Sarut's House</t>
  </si>
  <si>
    <t>25-17_Ekamai 28 (K'Phong)</t>
  </si>
  <si>
    <t>SUMMARY REPORT</t>
  </si>
  <si>
    <t>One row = one project — used to build the Overview, Status, and Financial sections of the Dashboard</t>
  </si>
  <si>
    <t>Overall Progress (%)</t>
  </si>
  <si>
    <t>Budget (THB)</t>
  </si>
  <si>
    <t>Spent (THB)</t>
  </si>
  <si>
    <t>Petty Cash (THB)</t>
  </si>
  <si>
    <t>Collected (THB)</t>
  </si>
  <si>
    <t>Man Power (Hours)</t>
  </si>
  <si>
    <t>Site Visit Days</t>
  </si>
  <si>
    <t>Site Inspector</t>
  </si>
  <si>
    <t>Preliminary (THB)</t>
  </si>
  <si>
    <t>VO - Variation Order (THB)</t>
  </si>
  <si>
    <t>VE - Variation/Omission (THB)</t>
  </si>
  <si>
    <t>Contractor Name</t>
  </si>
  <si>
    <t>Contract Value (THB)</t>
  </si>
  <si>
    <t>Project Manager</t>
  </si>
  <si>
    <t>บริษัทเอ.เอ็น.เอ็นจิเนียริ่งจํากัด</t>
  </si>
  <si>
    <t xml:space="preserve">รอลูกค้าคอนเฟิมวันส่งมอบงาน </t>
  </si>
  <si>
    <t>รองานโครงสร้าง</t>
  </si>
  <si>
    <t>ส่งมอบงานวันที่ 15/07/2026</t>
  </si>
  <si>
    <t>นายคธาชัย จันทร์ศรี</t>
  </si>
  <si>
    <t>บริษัท เคบีเอส ซีสเต็ม จํากัด</t>
  </si>
  <si>
    <t>บริษัท สามที เอ็นจิเนียริ่ง  จำกัด</t>
  </si>
  <si>
    <t>บริษัท อาร์ทอพ แอร์ ซัพพลาย จำกัด</t>
  </si>
  <si>
    <t>SITE VISIT LOG</t>
  </si>
  <si>
    <t>Optional sheet — one row = one team member's site visit hours in one month. Powers the team-wide Monthly Site Visit Overview chart on the Dashboard (not tied to a specific project).</t>
  </si>
  <si>
    <t>Month</t>
  </si>
  <si>
    <t>Inspector Name</t>
  </si>
  <si>
    <t>Site Visit Hours</t>
  </si>
  <si>
    <t>ฤทธิพร บุตรนิตย์</t>
  </si>
  <si>
    <t>ธนทร วัฒนชโนบล</t>
  </si>
  <si>
    <t>วริษฐ์ ยุวโชติพันธุ์</t>
  </si>
  <si>
    <t>รอลูกค้าคอนเฟิมวันส่งงาน Frist fix</t>
  </si>
  <si>
    <t>ส่งงาน Frist fix 07/13/2026</t>
  </si>
  <si>
    <t>1 กันยา เริ่มเข้าไซต์</t>
  </si>
  <si>
    <t>โครงการล่าช้า เดือน 9 ส่งมอบงาน</t>
  </si>
  <si>
    <t>โครงการล่าช้า/ติดกริลวันที่ 17/07/2026 กำหนดส่งงานได้ กันยา-ตุลา</t>
  </si>
  <si>
    <t>07/24/2026 เริ่มเข้าไซต์ (Draft)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</si>
</sst>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"/>
    <numFmt numFmtId="165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b/>
      <sz val="14"/>
      <color rgb="FF16243A"/>
      <name val="Arial"/>
      <family val="2"/>
    </font>
    <font>
      <i/>
      <sz val="9"/>
      <color rgb="FF5B6B7C"/>
      <name val="Arial"/>
      <family val="2"/>
    </font>
    <font>
      <b/>
      <sz val="11"/>
      <color rgb="FFFFFFFF"/>
      <name val="Arial"/>
      <family val="2"/>
    </font>
    <font>
      <sz val="10.5"/>
      <name val="Arial"/>
      <family val="2"/>
    </font>
    <font>
      <b/>
      <sz val="10.5"/>
      <color rgb="FF16243A"/>
      <name val="Arial"/>
      <family val="2"/>
    </font>
    <font>
      <sz val="10.5"/>
      <name val="Arial"/>
      <family val="2"/>
    </font>
    <font>
      <sz val="11"/>
      <color theme="1"/>
      <name val="Calibri"/>
      <family val="2"/>
      <scheme val="minor"/>
    </font>
    <font>
      <sz val="12"/>
      <name val="Cordia New"/>
      <family val="2"/>
    </font>
    <font>
      <sz val="12"/>
      <color theme="1"/>
      <name val="Cordia New"/>
      <family val="2"/>
    </font>
    <font>
      <sz val="12"/>
      <color theme="1"/>
      <name val="Calibri"/>
      <family val="2"/>
      <scheme val="minor"/>
    </font>
    <font>
      <sz val="12"/>
      <color rgb="FFFF0000"/>
      <name val="Cordia New"/>
      <family val="2"/>
    </font>
  </fonts>
  <fills count="4">
    <fill>
      <patternFill patternType="none"/>
    </fill>
    <fill>
      <patternFill patternType="gray125"/>
    </fill>
    <fill>
      <patternFill patternType="solid">
        <fgColor rgb="FF16243A"/>
      </patternFill>
    </fill>
    <fill>
      <patternFill patternType="solid">
        <fgColor rgb="FFE9E4D8"/>
      </patternFill>
    </fill>
  </fills>
  <borders count="4">
    <border>
      <left/>
      <right/>
      <top/>
      <bottom/>
      <diagonal/>
    </border>
    <border>
      <left style="thin">
        <color rgb="FFD9D4C6"/>
      </left>
      <right style="thin">
        <color rgb="FFD9D4C6"/>
      </right>
      <top style="thin">
        <color rgb="FFD9D4C6"/>
      </top>
      <bottom style="thin">
        <color rgb="FFD9D4C6"/>
      </bottom>
      <diagonal/>
    </border>
    <border>
      <left style="thin">
        <color rgb="FFD9D4C6"/>
      </left>
      <right style="thin">
        <color rgb="FFD9D4C6"/>
      </right>
      <top/>
      <bottom/>
      <diagonal/>
    </border>
    <border>
      <left style="thin">
        <color rgb="FFD9D4C6"/>
      </left>
      <right style="thin">
        <color rgb="FFD9D4C6"/>
      </right>
      <top/>
      <bottom style="thin">
        <color rgb="FFD9D4C6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3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164" fontId="4" fillId="0" borderId="1" xfId="0" applyNumberFormat="1" applyFont="1" applyBorder="1" applyAlignment="1">
      <alignment vertical="center"/>
    </xf>
    <xf numFmtId="1" fontId="4" fillId="0" borderId="1" xfId="0" applyNumberFormat="1" applyFont="1" applyBorder="1" applyAlignment="1">
      <alignment vertical="center"/>
    </xf>
    <xf numFmtId="0" fontId="6" fillId="0" borderId="1" xfId="0" applyFont="1" applyBorder="1" applyAlignment="1">
      <alignment vertical="center"/>
    </xf>
    <xf numFmtId="164" fontId="6" fillId="0" borderId="1" xfId="0" applyNumberFormat="1" applyFont="1" applyBorder="1" applyAlignment="1">
      <alignment vertical="center"/>
    </xf>
    <xf numFmtId="9" fontId="6" fillId="0" borderId="1" xfId="0" applyNumberFormat="1" applyFont="1" applyBorder="1" applyAlignment="1">
      <alignment vertical="center"/>
    </xf>
    <xf numFmtId="1" fontId="6" fillId="0" borderId="1" xfId="0" applyNumberFormat="1" applyFont="1" applyBorder="1" applyAlignment="1">
      <alignment vertical="center"/>
    </xf>
    <xf numFmtId="0" fontId="10" fillId="0" borderId="0" xfId="0" applyFont="1"/>
    <xf numFmtId="0" fontId="1" fillId="0" borderId="0" xfId="0" applyFont="1"/>
    <xf numFmtId="0" fontId="0" fillId="0" borderId="0" xfId="0"/>
    <xf numFmtId="164" fontId="5" fillId="3" borderId="1" xfId="0" applyNumberFormat="1" applyFont="1" applyFill="1" applyBorder="1" applyAlignment="1">
      <alignment horizontal="center" vertical="center"/>
    </xf>
    <xf numFmtId="0" fontId="0" fillId="3" borderId="3" xfId="0" applyFill="1" applyBorder="1"/>
    <xf numFmtId="0" fontId="5" fillId="3" borderId="1" xfId="0" applyFont="1" applyFill="1" applyBorder="1" applyAlignment="1">
      <alignment horizontal="left" vertical="center" indent="1"/>
    </xf>
    <xf numFmtId="0" fontId="2" fillId="0" borderId="0" xfId="0" applyFont="1"/>
    <xf numFmtId="0" fontId="9" fillId="0" borderId="0" xfId="0" applyFont="1" applyAlignment="1">
      <alignment horizontal="center"/>
    </xf>
    <xf numFmtId="43" fontId="9" fillId="0" borderId="0" xfId="1" applyFont="1" applyAlignment="1">
      <alignment horizontal="center"/>
    </xf>
    <xf numFmtId="14" fontId="9" fillId="0" borderId="0" xfId="0" applyNumberFormat="1" applyFont="1" applyAlignment="1">
      <alignment horizontal="center"/>
    </xf>
    <xf numFmtId="165" fontId="9" fillId="0" borderId="0" xfId="1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8" fillId="0" borderId="1" xfId="0" applyFont="1" applyBorder="1" applyAlignment="1">
      <alignment horizontal="center"/>
    </xf>
    <xf numFmtId="9" fontId="8" fillId="0" borderId="1" xfId="0" applyNumberFormat="1" applyFont="1" applyBorder="1" applyAlignment="1">
      <alignment horizontal="center"/>
    </xf>
    <xf numFmtId="3" fontId="8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43" fontId="8" fillId="0" borderId="1" xfId="1" applyFont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1" fontId="8" fillId="0" borderId="2" xfId="0" applyNumberFormat="1" applyFont="1" applyBorder="1" applyAlignment="1">
      <alignment horizontal="center"/>
    </xf>
    <xf numFmtId="9" fontId="11" fillId="0" borderId="1" xfId="0" applyNumberFormat="1" applyFont="1" applyBorder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2" xfId="0" applyFont="1" applyBorder="1" applyAlignment="1">
      <alignment horizontal="center"/>
    </xf>
    <xf numFmtId="3" fontId="8" fillId="0" borderId="2" xfId="0" applyNumberFormat="1" applyFont="1" applyBorder="1" applyAlignment="1">
      <alignment horizontal="center"/>
    </xf>
    <xf numFmtId="165" fontId="9" fillId="0" borderId="0" xfId="0" applyNumberFormat="1" applyFont="1" applyAlignment="1">
      <alignment horizontal="center"/>
    </xf>
    <xf numFmtId="0" fontId="8" fillId="0" borderId="1" xfId="0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9" fillId="0" borderId="0" xfId="0" applyFont="1" applyAlignment="1">
      <alignment horizontal="left"/>
    </xf>
  </cellXfs>
  <cellStyles count="2">
    <cellStyle name="จุลภาค" xfId="1" builtinId="3"/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corallife806.sharepoint.com/sites/CoralLife2/Document%20Sharing/BA%20-%20Solution%20Design/1_Non-Project/7_Engineer/IAQ%20Solution/0_ERV%20Management/2_Construction%20Management/Construction_Portfolio_Template%20&#3626;&#3635;&#3648;&#3609;&#3634;.xlsx" TargetMode="External"/><Relationship Id="rId2" Type="http://schemas.microsoft.com/office/2019/04/relationships/externalLinkLongPath" Target="Construction_Portfolio_Template%20&#3626;&#3635;&#3648;&#3609;&#3634;.xlsx?176BF005" TargetMode="External"/><Relationship Id="rId1" Type="http://schemas.openxmlformats.org/officeDocument/2006/relationships/externalLinkPath" Target="file:///\\176BF005\Construction_Portfolio_Template%20&#3626;&#3635;&#3648;&#3609;&#363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Master Schedule"/>
      <sheetName val="Summary Report"/>
      <sheetName val="Site Visit Log"/>
    </sheetNames>
    <sheetDataSet>
      <sheetData sheetId="0" refreshError="1">
        <row r="5">
          <cell r="C5">
            <v>46084</v>
          </cell>
        </row>
        <row r="6">
          <cell r="C6">
            <v>46189</v>
          </cell>
        </row>
        <row r="7">
          <cell r="C7">
            <v>46219</v>
          </cell>
        </row>
        <row r="8">
          <cell r="C8">
            <v>46244</v>
          </cell>
        </row>
        <row r="10">
          <cell r="C10">
            <v>46168</v>
          </cell>
        </row>
        <row r="11">
          <cell r="C11">
            <v>46184</v>
          </cell>
        </row>
        <row r="12">
          <cell r="C12">
            <v>46200</v>
          </cell>
        </row>
        <row r="13">
          <cell r="C13">
            <v>46392</v>
          </cell>
        </row>
        <row r="14">
          <cell r="C14">
            <v>46042</v>
          </cell>
        </row>
        <row r="15">
          <cell r="C15">
            <v>46168</v>
          </cell>
        </row>
        <row r="16">
          <cell r="C16">
            <v>46198</v>
          </cell>
        </row>
        <row r="17">
          <cell r="C17">
            <v>46188</v>
          </cell>
        </row>
        <row r="18">
          <cell r="C18">
            <v>46200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"/>
  <sheetViews>
    <sheetView tabSelected="1" workbookViewId="0">
      <pane ySplit="4" topLeftCell="A20" activePane="bottomLeft" state="frozen"/>
      <selection pane="bottomLeft" activeCell="A29" sqref="A29:A30"/>
    </sheetView>
  </sheetViews>
  <sheetFormatPr defaultRowHeight="14.4" x14ac:dyDescent="0.3"/>
  <cols>
    <col min="1" max="1" width="41.33203125" bestFit="1" customWidth="1"/>
    <col min="2" max="2" width="34" customWidth="1"/>
    <col min="3" max="4" width="13" customWidth="1"/>
    <col min="5" max="5" width="11" customWidth="1"/>
    <col min="6" max="6" width="13" customWidth="1"/>
    <col min="7" max="7" width="14" customWidth="1"/>
    <col min="8" max="8" width="30" customWidth="1"/>
  </cols>
  <sheetData>
    <row r="1" spans="1:8" ht="17.399999999999999" x14ac:dyDescent="0.3">
      <c r="A1" s="10" t="s">
        <v>0</v>
      </c>
      <c r="B1" s="11"/>
      <c r="C1" s="11"/>
      <c r="D1" s="11"/>
      <c r="E1" s="11"/>
      <c r="F1" s="11"/>
      <c r="G1" s="11"/>
      <c r="H1" s="11"/>
    </row>
    <row r="2" spans="1:8" x14ac:dyDescent="0.3">
      <c r="A2" s="15" t="s">
        <v>1</v>
      </c>
      <c r="B2" s="11"/>
      <c r="C2" s="11"/>
      <c r="D2" s="11"/>
      <c r="E2" s="11"/>
      <c r="F2" s="11"/>
      <c r="G2" s="11"/>
      <c r="H2" s="11"/>
    </row>
    <row r="4" spans="1:8" ht="27.6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 x14ac:dyDescent="0.3">
      <c r="A5" s="14" t="s">
        <v>10</v>
      </c>
      <c r="B5" s="5" t="s">
        <v>11</v>
      </c>
      <c r="C5" s="6">
        <v>46084</v>
      </c>
      <c r="D5" s="6">
        <v>46127</v>
      </c>
      <c r="E5" s="7">
        <v>1</v>
      </c>
      <c r="F5" s="5" t="s">
        <v>12</v>
      </c>
      <c r="G5" s="12">
        <v>46213</v>
      </c>
      <c r="H5" s="5"/>
    </row>
    <row r="6" spans="1:8" x14ac:dyDescent="0.3">
      <c r="A6" s="13"/>
      <c r="B6" s="5" t="s">
        <v>13</v>
      </c>
      <c r="C6" s="6">
        <v>46189</v>
      </c>
      <c r="D6" s="6">
        <v>46189</v>
      </c>
      <c r="E6" s="7">
        <v>1</v>
      </c>
      <c r="F6" s="5" t="s">
        <v>12</v>
      </c>
      <c r="G6" s="13"/>
      <c r="H6" s="5"/>
    </row>
    <row r="7" spans="1:8" x14ac:dyDescent="0.3">
      <c r="A7" s="14" t="s">
        <v>14</v>
      </c>
      <c r="B7" s="5" t="s">
        <v>11</v>
      </c>
      <c r="C7" s="6">
        <v>46219</v>
      </c>
      <c r="D7" s="6">
        <v>46233</v>
      </c>
      <c r="E7" s="7">
        <v>0</v>
      </c>
      <c r="F7" s="5" t="s">
        <v>15</v>
      </c>
      <c r="G7" s="12" t="s">
        <v>16</v>
      </c>
      <c r="H7" s="5"/>
    </row>
    <row r="8" spans="1:8" x14ac:dyDescent="0.3">
      <c r="A8" s="13"/>
      <c r="B8" s="5" t="s">
        <v>13</v>
      </c>
      <c r="C8" s="6">
        <v>46244</v>
      </c>
      <c r="D8" s="6">
        <v>46247</v>
      </c>
      <c r="E8" s="7">
        <v>0</v>
      </c>
      <c r="F8" s="5" t="s">
        <v>15</v>
      </c>
      <c r="G8" s="13"/>
      <c r="H8" s="5"/>
    </row>
    <row r="9" spans="1:8" x14ac:dyDescent="0.3">
      <c r="A9" s="14" t="s">
        <v>17</v>
      </c>
      <c r="B9" s="5" t="s">
        <v>11</v>
      </c>
      <c r="C9" s="6">
        <v>46082</v>
      </c>
      <c r="D9" s="6">
        <v>46096</v>
      </c>
      <c r="E9" s="7">
        <v>1</v>
      </c>
      <c r="F9" s="5" t="s">
        <v>12</v>
      </c>
      <c r="G9" s="12">
        <v>46218</v>
      </c>
      <c r="H9" s="5"/>
    </row>
    <row r="10" spans="1:8" x14ac:dyDescent="0.3">
      <c r="A10" s="13"/>
      <c r="B10" s="5" t="s">
        <v>13</v>
      </c>
      <c r="C10" s="6">
        <v>46168</v>
      </c>
      <c r="D10" s="6">
        <v>46213</v>
      </c>
      <c r="E10" s="7">
        <v>1</v>
      </c>
      <c r="F10" s="5" t="s">
        <v>12</v>
      </c>
      <c r="G10" s="13"/>
      <c r="H10" s="5"/>
    </row>
    <row r="11" spans="1:8" x14ac:dyDescent="0.3">
      <c r="A11" s="14" t="s">
        <v>18</v>
      </c>
      <c r="B11" s="5" t="s">
        <v>11</v>
      </c>
      <c r="C11" s="6">
        <v>46184</v>
      </c>
      <c r="D11" s="6">
        <v>46191</v>
      </c>
      <c r="E11" s="7">
        <v>1</v>
      </c>
      <c r="F11" s="5" t="s">
        <v>12</v>
      </c>
      <c r="G11" s="12">
        <v>46171</v>
      </c>
      <c r="H11" s="5"/>
    </row>
    <row r="12" spans="1:8" x14ac:dyDescent="0.3">
      <c r="A12" s="13"/>
      <c r="B12" s="5" t="s">
        <v>13</v>
      </c>
      <c r="C12" s="6">
        <v>46200</v>
      </c>
      <c r="D12" s="6">
        <v>46202</v>
      </c>
      <c r="E12" s="7">
        <v>1</v>
      </c>
      <c r="F12" s="5" t="s">
        <v>12</v>
      </c>
      <c r="G12" s="13"/>
      <c r="H12" s="5"/>
    </row>
    <row r="13" spans="1:8" x14ac:dyDescent="0.3">
      <c r="A13" s="14" t="s">
        <v>19</v>
      </c>
      <c r="B13" s="5" t="s">
        <v>11</v>
      </c>
      <c r="C13" s="6">
        <v>46392</v>
      </c>
      <c r="D13" s="6">
        <v>46402</v>
      </c>
      <c r="E13" s="7">
        <v>0</v>
      </c>
      <c r="F13" s="5" t="s">
        <v>15</v>
      </c>
      <c r="G13" s="12" t="s">
        <v>16</v>
      </c>
      <c r="H13" s="5"/>
    </row>
    <row r="14" spans="1:8" x14ac:dyDescent="0.3">
      <c r="A14" s="13"/>
      <c r="B14" s="5" t="s">
        <v>13</v>
      </c>
      <c r="C14" s="6">
        <v>46042</v>
      </c>
      <c r="D14" s="6">
        <v>46042</v>
      </c>
      <c r="E14" s="7">
        <v>0</v>
      </c>
      <c r="F14" s="5" t="s">
        <v>15</v>
      </c>
      <c r="G14" s="13"/>
      <c r="H14" s="5"/>
    </row>
    <row r="15" spans="1:8" x14ac:dyDescent="0.3">
      <c r="A15" s="14" t="s">
        <v>20</v>
      </c>
      <c r="B15" s="5" t="s">
        <v>11</v>
      </c>
      <c r="C15" s="6">
        <v>46168</v>
      </c>
      <c r="D15" s="6">
        <v>46188</v>
      </c>
      <c r="E15" s="7">
        <v>1</v>
      </c>
      <c r="F15" s="5" t="s">
        <v>12</v>
      </c>
      <c r="G15" s="12">
        <v>46199</v>
      </c>
      <c r="H15" s="5"/>
    </row>
    <row r="16" spans="1:8" x14ac:dyDescent="0.3">
      <c r="A16" s="13"/>
      <c r="B16" s="5" t="s">
        <v>13</v>
      </c>
      <c r="C16" s="6">
        <v>46198</v>
      </c>
      <c r="D16" s="6">
        <v>46199</v>
      </c>
      <c r="E16" s="7">
        <v>1</v>
      </c>
      <c r="F16" s="5" t="s">
        <v>12</v>
      </c>
      <c r="G16" s="13"/>
      <c r="H16" s="5"/>
    </row>
    <row r="17" spans="1:8" x14ac:dyDescent="0.3">
      <c r="A17" s="14" t="s">
        <v>21</v>
      </c>
      <c r="B17" s="5" t="s">
        <v>11</v>
      </c>
      <c r="C17" s="6">
        <v>46188</v>
      </c>
      <c r="D17" s="6">
        <v>46198</v>
      </c>
      <c r="E17" s="7">
        <v>0.8</v>
      </c>
      <c r="F17" s="5" t="s">
        <v>12</v>
      </c>
      <c r="G17" s="12">
        <v>46305</v>
      </c>
      <c r="H17" s="5"/>
    </row>
    <row r="18" spans="1:8" x14ac:dyDescent="0.3">
      <c r="A18" s="13"/>
      <c r="B18" s="5" t="s">
        <v>13</v>
      </c>
      <c r="C18" s="6">
        <v>46296</v>
      </c>
      <c r="D18" s="6">
        <v>46298</v>
      </c>
      <c r="E18" s="7">
        <v>0.4</v>
      </c>
      <c r="F18" s="5" t="s">
        <v>22</v>
      </c>
      <c r="G18" s="13"/>
      <c r="H18" s="5"/>
    </row>
    <row r="19" spans="1:8" x14ac:dyDescent="0.3">
      <c r="A19" s="14" t="s">
        <v>23</v>
      </c>
      <c r="B19" s="5" t="s">
        <v>11</v>
      </c>
      <c r="C19" s="6">
        <v>46275</v>
      </c>
      <c r="D19" s="6">
        <v>46290</v>
      </c>
      <c r="E19" s="7">
        <v>0</v>
      </c>
      <c r="F19" s="5" t="s">
        <v>15</v>
      </c>
      <c r="G19" s="12">
        <v>46336</v>
      </c>
      <c r="H19" s="5"/>
    </row>
    <row r="20" spans="1:8" x14ac:dyDescent="0.3">
      <c r="A20" s="13"/>
      <c r="B20" s="5" t="s">
        <v>13</v>
      </c>
      <c r="C20" s="6">
        <v>46327</v>
      </c>
      <c r="D20" s="6">
        <v>46329</v>
      </c>
      <c r="E20" s="7">
        <v>0</v>
      </c>
      <c r="F20" s="5" t="s">
        <v>15</v>
      </c>
      <c r="G20" s="13"/>
      <c r="H20" s="5"/>
    </row>
    <row r="21" spans="1:8" x14ac:dyDescent="0.3">
      <c r="A21" s="14" t="s">
        <v>24</v>
      </c>
      <c r="B21" s="5" t="s">
        <v>11</v>
      </c>
      <c r="C21" s="6">
        <v>46240</v>
      </c>
      <c r="D21" s="6">
        <v>46249</v>
      </c>
      <c r="E21" s="7">
        <v>0</v>
      </c>
      <c r="F21" s="5" t="s">
        <v>15</v>
      </c>
      <c r="G21" s="12">
        <v>46336</v>
      </c>
    </row>
    <row r="22" spans="1:8" x14ac:dyDescent="0.3">
      <c r="A22" s="13"/>
      <c r="B22" s="5" t="s">
        <v>13</v>
      </c>
      <c r="C22" s="6">
        <v>46327</v>
      </c>
      <c r="D22" s="6">
        <v>46329</v>
      </c>
      <c r="E22" s="7">
        <v>0</v>
      </c>
      <c r="F22" s="5" t="s">
        <v>15</v>
      </c>
      <c r="G22" s="13"/>
    </row>
    <row r="23" spans="1:8" x14ac:dyDescent="0.3">
      <c r="A23" s="14" t="s">
        <v>25</v>
      </c>
      <c r="B23" s="5" t="s">
        <v>11</v>
      </c>
      <c r="C23" s="6">
        <v>46190</v>
      </c>
      <c r="D23" s="6">
        <v>46206</v>
      </c>
      <c r="E23" s="7">
        <v>0.7</v>
      </c>
      <c r="F23" s="5" t="s">
        <v>22</v>
      </c>
      <c r="G23" s="12">
        <v>46218</v>
      </c>
    </row>
    <row r="24" spans="1:8" x14ac:dyDescent="0.3">
      <c r="A24" s="13"/>
      <c r="B24" s="5" t="s">
        <v>13</v>
      </c>
      <c r="C24" s="6">
        <v>46209</v>
      </c>
      <c r="D24" s="6">
        <v>46211</v>
      </c>
      <c r="E24" s="7">
        <v>0</v>
      </c>
      <c r="F24" s="5" t="s">
        <v>22</v>
      </c>
      <c r="G24" s="13"/>
    </row>
    <row r="25" spans="1:8" x14ac:dyDescent="0.3">
      <c r="A25" s="14" t="s">
        <v>26</v>
      </c>
      <c r="B25" s="5" t="s">
        <v>11</v>
      </c>
      <c r="C25" s="6">
        <v>46185</v>
      </c>
      <c r="D25" s="6">
        <v>46188</v>
      </c>
      <c r="E25" s="7">
        <v>1</v>
      </c>
      <c r="F25" s="5" t="s">
        <v>12</v>
      </c>
      <c r="G25" s="12">
        <v>46188</v>
      </c>
    </row>
    <row r="26" spans="1:8" x14ac:dyDescent="0.3">
      <c r="A26" s="13"/>
      <c r="B26" s="5" t="s">
        <v>13</v>
      </c>
      <c r="C26" s="6">
        <v>46185</v>
      </c>
      <c r="D26" s="6">
        <v>46188</v>
      </c>
      <c r="E26" s="7">
        <v>1</v>
      </c>
      <c r="F26" s="5" t="s">
        <v>12</v>
      </c>
      <c r="G26" s="13"/>
    </row>
    <row r="27" spans="1:8" x14ac:dyDescent="0.3">
      <c r="A27" s="14" t="s">
        <v>27</v>
      </c>
      <c r="B27" s="5" t="s">
        <v>11</v>
      </c>
      <c r="C27" s="6">
        <v>46234</v>
      </c>
      <c r="D27" s="6">
        <v>46247</v>
      </c>
      <c r="E27" s="7">
        <v>0</v>
      </c>
      <c r="F27" s="5" t="s">
        <v>22</v>
      </c>
      <c r="G27" s="12">
        <v>46321</v>
      </c>
    </row>
    <row r="28" spans="1:8" x14ac:dyDescent="0.3">
      <c r="A28" s="13"/>
      <c r="B28" s="5" t="s">
        <v>13</v>
      </c>
      <c r="C28" s="6">
        <v>46314</v>
      </c>
      <c r="D28" s="6">
        <v>46316</v>
      </c>
      <c r="E28" s="7">
        <v>0</v>
      </c>
      <c r="F28" s="5" t="s">
        <v>22</v>
      </c>
      <c r="G28" s="13"/>
    </row>
    <row r="29" spans="1:8" x14ac:dyDescent="0.3">
      <c r="A29" s="14" t="s">
        <v>28</v>
      </c>
      <c r="B29" s="5" t="s">
        <v>11</v>
      </c>
      <c r="C29" s="6">
        <v>46091</v>
      </c>
      <c r="D29" s="6">
        <v>46100</v>
      </c>
      <c r="E29" s="7">
        <v>1</v>
      </c>
      <c r="F29" s="5" t="s">
        <v>12</v>
      </c>
      <c r="G29" s="12">
        <v>46139</v>
      </c>
    </row>
    <row r="30" spans="1:8" x14ac:dyDescent="0.3">
      <c r="A30" s="13"/>
      <c r="B30" s="5" t="s">
        <v>13</v>
      </c>
      <c r="C30" s="6">
        <v>46120</v>
      </c>
      <c r="D30" s="6">
        <v>46124</v>
      </c>
      <c r="E30" s="7">
        <v>1</v>
      </c>
      <c r="F30" s="5" t="s">
        <v>12</v>
      </c>
      <c r="G30" s="13"/>
    </row>
    <row r="31" spans="1:8" x14ac:dyDescent="0.3">
      <c r="A31" s="14" t="s">
        <v>29</v>
      </c>
      <c r="B31" s="5" t="s">
        <v>11</v>
      </c>
      <c r="C31" s="6">
        <v>46091</v>
      </c>
      <c r="D31" s="6">
        <v>46094</v>
      </c>
      <c r="E31" s="7">
        <v>1</v>
      </c>
      <c r="F31" s="5" t="s">
        <v>12</v>
      </c>
      <c r="G31" s="12">
        <v>46133</v>
      </c>
    </row>
    <row r="32" spans="1:8" x14ac:dyDescent="0.3">
      <c r="A32" s="13"/>
      <c r="B32" s="5" t="s">
        <v>13</v>
      </c>
      <c r="C32" s="6">
        <v>46091</v>
      </c>
      <c r="D32" s="6">
        <v>46094</v>
      </c>
      <c r="E32" s="7">
        <v>1</v>
      </c>
      <c r="F32" s="5" t="s">
        <v>12</v>
      </c>
      <c r="G32" s="13"/>
    </row>
    <row r="33" spans="1:7" x14ac:dyDescent="0.3">
      <c r="A33" s="14" t="s">
        <v>30</v>
      </c>
      <c r="B33" s="5" t="s">
        <v>11</v>
      </c>
      <c r="C33" s="6">
        <v>46091</v>
      </c>
      <c r="D33" s="6">
        <v>46094</v>
      </c>
      <c r="E33" s="7">
        <v>0</v>
      </c>
      <c r="F33" s="5" t="s">
        <v>22</v>
      </c>
      <c r="G33" s="12">
        <v>46295</v>
      </c>
    </row>
    <row r="34" spans="1:7" x14ac:dyDescent="0.3">
      <c r="A34" s="13"/>
      <c r="B34" s="5" t="s">
        <v>13</v>
      </c>
      <c r="C34" s="6">
        <v>46091</v>
      </c>
      <c r="D34" s="6">
        <v>46094</v>
      </c>
      <c r="E34" s="7">
        <v>0</v>
      </c>
      <c r="F34" s="5" t="s">
        <v>22</v>
      </c>
      <c r="G34" s="13"/>
    </row>
    <row r="35" spans="1:7" x14ac:dyDescent="0.3">
      <c r="A35" s="14" t="s">
        <v>31</v>
      </c>
      <c r="B35" s="5" t="s">
        <v>11</v>
      </c>
      <c r="C35" s="6">
        <v>45723</v>
      </c>
      <c r="D35" s="6">
        <v>45729</v>
      </c>
      <c r="E35" s="7">
        <v>1</v>
      </c>
      <c r="F35" s="5" t="s">
        <v>22</v>
      </c>
      <c r="G35" s="12">
        <v>45737</v>
      </c>
    </row>
    <row r="36" spans="1:7" x14ac:dyDescent="0.3">
      <c r="A36" s="13"/>
      <c r="B36" s="5" t="s">
        <v>13</v>
      </c>
      <c r="C36" s="6">
        <v>45729</v>
      </c>
      <c r="D36" s="6">
        <v>45732</v>
      </c>
      <c r="E36" s="7">
        <v>0.9</v>
      </c>
      <c r="F36" s="5" t="s">
        <v>22</v>
      </c>
      <c r="G36" s="13"/>
    </row>
    <row r="37" spans="1:7" x14ac:dyDescent="0.3">
      <c r="A37" s="14" t="s">
        <v>32</v>
      </c>
      <c r="B37" s="5" t="s">
        <v>11</v>
      </c>
      <c r="C37" s="6">
        <v>45723</v>
      </c>
      <c r="D37" s="6">
        <v>45729</v>
      </c>
      <c r="E37" s="7">
        <v>1</v>
      </c>
      <c r="F37" s="5" t="s">
        <v>22</v>
      </c>
      <c r="G37" s="12">
        <v>45737</v>
      </c>
    </row>
    <row r="38" spans="1:7" x14ac:dyDescent="0.3">
      <c r="A38" s="13"/>
      <c r="B38" s="5" t="s">
        <v>13</v>
      </c>
      <c r="C38" s="6">
        <v>45729</v>
      </c>
      <c r="D38" s="6">
        <v>45732</v>
      </c>
      <c r="E38" s="7">
        <v>0.9</v>
      </c>
      <c r="F38" s="5" t="s">
        <v>22</v>
      </c>
      <c r="G38" s="13"/>
    </row>
  </sheetData>
  <mergeCells count="36">
    <mergeCell ref="A37:A38"/>
    <mergeCell ref="G37:G38"/>
    <mergeCell ref="A23:A24"/>
    <mergeCell ref="G23:G24"/>
    <mergeCell ref="A31:A32"/>
    <mergeCell ref="G31:G32"/>
    <mergeCell ref="A25:A26"/>
    <mergeCell ref="G25:G26"/>
    <mergeCell ref="A27:A28"/>
    <mergeCell ref="G27:G28"/>
    <mergeCell ref="A29:A30"/>
    <mergeCell ref="G29:G30"/>
    <mergeCell ref="A33:A34"/>
    <mergeCell ref="G33:G34"/>
    <mergeCell ref="A21:A22"/>
    <mergeCell ref="G21:G22"/>
    <mergeCell ref="A9:A10"/>
    <mergeCell ref="A13:A14"/>
    <mergeCell ref="A35:A36"/>
    <mergeCell ref="G35:G36"/>
    <mergeCell ref="A1:H1"/>
    <mergeCell ref="G19:G20"/>
    <mergeCell ref="G11:G12"/>
    <mergeCell ref="A19:A20"/>
    <mergeCell ref="A11:A12"/>
    <mergeCell ref="A2:H2"/>
    <mergeCell ref="G13:G14"/>
    <mergeCell ref="A15:A16"/>
    <mergeCell ref="A7:A8"/>
    <mergeCell ref="G7:G8"/>
    <mergeCell ref="G15:G16"/>
    <mergeCell ref="A5:A6"/>
    <mergeCell ref="G5:G6"/>
    <mergeCell ref="G9:G10"/>
    <mergeCell ref="G17:G18"/>
    <mergeCell ref="A17:A18"/>
  </mergeCells>
  <dataValidations count="1">
    <dataValidation type="list" allowBlank="1" sqref="F5:F48" xr:uid="{00000000-0002-0000-0000-000000000000}">
      <formula1>"Construction,Completed,Planning,On Hold"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88"/>
  <sheetViews>
    <sheetView topLeftCell="A3" workbookViewId="0">
      <pane xSplit="1" topLeftCell="B1" activePane="topRight" state="frozen"/>
      <selection pane="topRight" activeCell="E19" sqref="E19"/>
    </sheetView>
  </sheetViews>
  <sheetFormatPr defaultRowHeight="14.4" x14ac:dyDescent="0.3"/>
  <cols>
    <col min="1" max="1" width="37.33203125" bestFit="1" customWidth="1"/>
    <col min="2" max="2" width="14" customWidth="1"/>
    <col min="3" max="5" width="16" customWidth="1"/>
    <col min="6" max="7" width="15" customWidth="1"/>
    <col min="8" max="8" width="14" customWidth="1"/>
    <col min="9" max="9" width="13" customWidth="1"/>
    <col min="10" max="10" width="16" customWidth="1"/>
    <col min="11" max="11" width="15" customWidth="1"/>
    <col min="12" max="12" width="18" customWidth="1"/>
    <col min="13" max="13" width="20" customWidth="1"/>
    <col min="14" max="14" width="31.44140625" bestFit="1" customWidth="1"/>
    <col min="15" max="15" width="18" customWidth="1"/>
    <col min="16" max="17" width="13" customWidth="1"/>
    <col min="18" max="18" width="18" customWidth="1"/>
    <col min="19" max="19" width="28" customWidth="1"/>
  </cols>
  <sheetData>
    <row r="1" spans="1:19" ht="17.399999999999999" x14ac:dyDescent="0.3">
      <c r="A1" s="10" t="s">
        <v>33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</row>
    <row r="2" spans="1:19" x14ac:dyDescent="0.3">
      <c r="A2" s="15" t="s">
        <v>34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</row>
    <row r="4" spans="1:19" ht="41.4" x14ac:dyDescent="0.3">
      <c r="A4" s="1" t="s">
        <v>2</v>
      </c>
      <c r="B4" s="1" t="s">
        <v>7</v>
      </c>
      <c r="C4" s="1" t="s">
        <v>35</v>
      </c>
      <c r="D4" s="1" t="s">
        <v>36</v>
      </c>
      <c r="E4" s="1" t="s">
        <v>37</v>
      </c>
      <c r="F4" s="1" t="s">
        <v>38</v>
      </c>
      <c r="G4" s="1" t="s">
        <v>39</v>
      </c>
      <c r="H4" s="1" t="s">
        <v>40</v>
      </c>
      <c r="I4" s="1" t="s">
        <v>41</v>
      </c>
      <c r="J4" s="1" t="s">
        <v>42</v>
      </c>
      <c r="K4" s="1" t="s">
        <v>43</v>
      </c>
      <c r="L4" s="1" t="s">
        <v>44</v>
      </c>
      <c r="M4" s="1" t="s">
        <v>45</v>
      </c>
      <c r="N4" s="1" t="s">
        <v>46</v>
      </c>
      <c r="O4" s="1" t="s">
        <v>47</v>
      </c>
      <c r="P4" s="1" t="s">
        <v>4</v>
      </c>
      <c r="Q4" s="1" t="s">
        <v>5</v>
      </c>
      <c r="R4" s="1" t="s">
        <v>48</v>
      </c>
      <c r="S4" s="1" t="s">
        <v>9</v>
      </c>
    </row>
    <row r="5" spans="1:19" s="16" customFormat="1" ht="18.600000000000001" x14ac:dyDescent="0.55000000000000004">
      <c r="A5" s="21" t="s">
        <v>10</v>
      </c>
      <c r="B5" s="21" t="s">
        <v>22</v>
      </c>
      <c r="C5" s="22">
        <v>0.9</v>
      </c>
      <c r="D5" s="23">
        <v>326786.36</v>
      </c>
      <c r="E5" s="23">
        <f>O5</f>
        <v>130000</v>
      </c>
      <c r="F5" s="23"/>
      <c r="G5" s="23">
        <f>D5*0.8</f>
        <v>261429.08799999999</v>
      </c>
      <c r="H5" s="24">
        <v>12</v>
      </c>
      <c r="I5" s="24"/>
      <c r="J5" s="21"/>
      <c r="K5" s="23">
        <v>5198</v>
      </c>
      <c r="L5" s="23"/>
      <c r="M5" s="23">
        <v>0</v>
      </c>
      <c r="N5" s="21" t="s">
        <v>49</v>
      </c>
      <c r="O5" s="25">
        <v>130000</v>
      </c>
      <c r="P5" s="26">
        <f>'[1]Master Schedule'!C5</f>
        <v>46084</v>
      </c>
      <c r="Q5" s="26">
        <v>46106</v>
      </c>
      <c r="R5" s="21"/>
      <c r="S5" s="33" t="s">
        <v>50</v>
      </c>
    </row>
    <row r="6" spans="1:19" s="16" customFormat="1" ht="18.600000000000001" x14ac:dyDescent="0.55000000000000004">
      <c r="A6" s="21" t="s">
        <v>14</v>
      </c>
      <c r="B6" s="21" t="s">
        <v>15</v>
      </c>
      <c r="C6" s="22">
        <v>0</v>
      </c>
      <c r="D6" s="23">
        <v>409599.64</v>
      </c>
      <c r="E6" s="23">
        <f>O6*0.3</f>
        <v>41833.799999999996</v>
      </c>
      <c r="F6" s="23"/>
      <c r="G6" s="23">
        <f t="shared" ref="G6:G14" si="0">D6*0.4</f>
        <v>163839.85600000003</v>
      </c>
      <c r="H6" s="24">
        <v>0</v>
      </c>
      <c r="I6" s="24"/>
      <c r="J6" s="21"/>
      <c r="K6" s="23">
        <v>6972.5</v>
      </c>
      <c r="L6" s="23"/>
      <c r="M6" s="23">
        <v>0</v>
      </c>
      <c r="N6" s="21" t="s">
        <v>49</v>
      </c>
      <c r="O6" s="25">
        <v>139446</v>
      </c>
      <c r="P6" s="26">
        <f>'[1]Master Schedule'!C6</f>
        <v>46189</v>
      </c>
      <c r="Q6" s="26">
        <v>46264</v>
      </c>
      <c r="R6" s="21"/>
      <c r="S6" s="33" t="s">
        <v>51</v>
      </c>
    </row>
    <row r="7" spans="1:19" s="16" customFormat="1" ht="18.600000000000001" x14ac:dyDescent="0.55000000000000004">
      <c r="A7" s="21" t="s">
        <v>17</v>
      </c>
      <c r="B7" s="21" t="s">
        <v>22</v>
      </c>
      <c r="C7" s="22">
        <v>0.9</v>
      </c>
      <c r="D7" s="23">
        <v>576317.9</v>
      </c>
      <c r="E7" s="23">
        <f t="shared" ref="E7:E18" si="1">O7</f>
        <v>280000</v>
      </c>
      <c r="F7" s="23">
        <v>603</v>
      </c>
      <c r="G7" s="23">
        <f>D7*0.9</f>
        <v>518686.11000000004</v>
      </c>
      <c r="H7" s="24">
        <v>20</v>
      </c>
      <c r="I7" s="24"/>
      <c r="J7" s="21"/>
      <c r="K7" s="23">
        <v>12045</v>
      </c>
      <c r="L7" s="23"/>
      <c r="M7" s="23">
        <v>0</v>
      </c>
      <c r="N7" s="21" t="s">
        <v>49</v>
      </c>
      <c r="O7" s="25">
        <v>280000</v>
      </c>
      <c r="P7" s="26">
        <f>'[1]Master Schedule'!C7</f>
        <v>46219</v>
      </c>
      <c r="Q7" s="26">
        <v>46102</v>
      </c>
      <c r="R7" s="21"/>
      <c r="S7" s="33" t="s">
        <v>52</v>
      </c>
    </row>
    <row r="8" spans="1:19" s="16" customFormat="1" ht="18.600000000000001" x14ac:dyDescent="0.55000000000000004">
      <c r="A8" s="21" t="s">
        <v>18</v>
      </c>
      <c r="B8" s="21" t="s">
        <v>12</v>
      </c>
      <c r="C8" s="22">
        <v>1</v>
      </c>
      <c r="D8" s="23">
        <v>322961.08</v>
      </c>
      <c r="E8" s="23">
        <f t="shared" si="1"/>
        <v>89000</v>
      </c>
      <c r="F8" s="23">
        <v>715</v>
      </c>
      <c r="G8" s="23">
        <f>D8*1</f>
        <v>322961.08</v>
      </c>
      <c r="H8" s="24">
        <v>7</v>
      </c>
      <c r="I8" s="24"/>
      <c r="J8" s="21"/>
      <c r="K8" s="23">
        <v>24166</v>
      </c>
      <c r="L8" s="23"/>
      <c r="M8" s="23">
        <v>1444</v>
      </c>
      <c r="N8" s="21" t="s">
        <v>53</v>
      </c>
      <c r="O8" s="25">
        <v>89000</v>
      </c>
      <c r="P8" s="26">
        <f>'[1]Master Schedule'!C8</f>
        <v>46244</v>
      </c>
      <c r="Q8" s="26">
        <v>46171</v>
      </c>
      <c r="R8" s="21"/>
      <c r="S8" s="33"/>
    </row>
    <row r="9" spans="1:19" s="16" customFormat="1" ht="18.600000000000001" x14ac:dyDescent="0.55000000000000004">
      <c r="A9" s="21" t="s">
        <v>19</v>
      </c>
      <c r="B9" s="21" t="s">
        <v>15</v>
      </c>
      <c r="C9" s="22">
        <v>0</v>
      </c>
      <c r="D9" s="23">
        <v>630619.19999999995</v>
      </c>
      <c r="E9" s="23" t="str">
        <f t="shared" si="1"/>
        <v>-</v>
      </c>
      <c r="F9" s="23"/>
      <c r="G9" s="23">
        <f>D9*0.4</f>
        <v>252247.67999999999</v>
      </c>
      <c r="H9" s="24">
        <v>0</v>
      </c>
      <c r="I9" s="24"/>
      <c r="J9" s="21"/>
      <c r="K9" s="23"/>
      <c r="L9" s="23"/>
      <c r="M9" s="23">
        <v>0</v>
      </c>
      <c r="N9" s="21"/>
      <c r="O9" s="25" t="s">
        <v>16</v>
      </c>
      <c r="P9" s="26">
        <v>46388</v>
      </c>
      <c r="Q9" s="26">
        <v>46447</v>
      </c>
      <c r="R9" s="21"/>
      <c r="S9" s="33"/>
    </row>
    <row r="10" spans="1:19" s="16" customFormat="1" ht="18.600000000000001" x14ac:dyDescent="0.55000000000000004">
      <c r="A10" s="16" t="s">
        <v>20</v>
      </c>
      <c r="B10" s="21" t="s">
        <v>12</v>
      </c>
      <c r="C10" s="22">
        <v>1</v>
      </c>
      <c r="D10" s="23">
        <v>338450.2</v>
      </c>
      <c r="E10" s="23">
        <f>O10*0.8</f>
        <v>110400</v>
      </c>
      <c r="F10" s="23">
        <v>370</v>
      </c>
      <c r="G10" s="23">
        <f>D10*1</f>
        <v>338450.2</v>
      </c>
      <c r="H10" s="24">
        <v>12</v>
      </c>
      <c r="I10" s="24"/>
      <c r="J10" s="21"/>
      <c r="K10" s="23">
        <v>5783</v>
      </c>
      <c r="L10" s="23"/>
      <c r="M10" s="23">
        <v>787</v>
      </c>
      <c r="N10" s="21" t="s">
        <v>53</v>
      </c>
      <c r="O10" s="25">
        <v>138000</v>
      </c>
      <c r="P10" s="26">
        <f>'[1]Master Schedule'!C10</f>
        <v>46168</v>
      </c>
      <c r="Q10" s="26">
        <v>46199</v>
      </c>
      <c r="R10" s="21"/>
      <c r="S10" s="34"/>
    </row>
    <row r="11" spans="1:19" s="16" customFormat="1" ht="18.600000000000001" x14ac:dyDescent="0.55000000000000004">
      <c r="A11" s="16" t="s">
        <v>21</v>
      </c>
      <c r="B11" s="21" t="s">
        <v>22</v>
      </c>
      <c r="C11" s="22">
        <v>0.7</v>
      </c>
      <c r="D11" s="23">
        <v>1156111.18</v>
      </c>
      <c r="E11" s="23">
        <f>O11*0.3</f>
        <v>84000</v>
      </c>
      <c r="F11" s="23">
        <v>840</v>
      </c>
      <c r="G11" s="23">
        <f t="shared" si="0"/>
        <v>462444.47200000001</v>
      </c>
      <c r="H11" s="24">
        <v>10</v>
      </c>
      <c r="I11" s="24"/>
      <c r="K11" s="23">
        <v>26094</v>
      </c>
      <c r="L11" s="23"/>
      <c r="M11" s="23">
        <v>46175</v>
      </c>
      <c r="N11" s="16" t="s">
        <v>54</v>
      </c>
      <c r="O11" s="25">
        <v>280000</v>
      </c>
      <c r="P11" s="26">
        <f>'[1]Master Schedule'!C11</f>
        <v>46184</v>
      </c>
      <c r="Q11" s="26">
        <v>46305</v>
      </c>
      <c r="R11" s="21"/>
      <c r="S11" s="34" t="s">
        <v>65</v>
      </c>
    </row>
    <row r="12" spans="1:19" s="16" customFormat="1" ht="18.600000000000001" x14ac:dyDescent="0.55000000000000004">
      <c r="A12" s="16" t="s">
        <v>23</v>
      </c>
      <c r="B12" s="21" t="s">
        <v>15</v>
      </c>
      <c r="C12" s="22">
        <v>0</v>
      </c>
      <c r="D12" s="23">
        <v>594114</v>
      </c>
      <c r="E12" s="23">
        <f>O12*0</f>
        <v>0</v>
      </c>
      <c r="F12" s="23"/>
      <c r="G12" s="23">
        <f t="shared" si="0"/>
        <v>237645.6</v>
      </c>
      <c r="H12" s="24">
        <v>0</v>
      </c>
      <c r="I12" s="24"/>
      <c r="J12" s="21"/>
      <c r="K12" s="23">
        <v>20261</v>
      </c>
      <c r="L12" s="23"/>
      <c r="M12" s="23">
        <v>20018</v>
      </c>
      <c r="N12" s="16" t="s">
        <v>55</v>
      </c>
      <c r="O12" s="25">
        <v>233247.9</v>
      </c>
      <c r="P12" s="26">
        <f>'[1]Master Schedule'!C12</f>
        <v>46200</v>
      </c>
      <c r="Q12" s="26">
        <v>46336</v>
      </c>
      <c r="R12" s="21"/>
      <c r="S12" s="34" t="s">
        <v>67</v>
      </c>
    </row>
    <row r="13" spans="1:19" s="16" customFormat="1" ht="18.600000000000001" x14ac:dyDescent="0.55000000000000004">
      <c r="A13" s="16" t="s">
        <v>24</v>
      </c>
      <c r="B13" s="21" t="s">
        <v>15</v>
      </c>
      <c r="C13" s="22">
        <v>0</v>
      </c>
      <c r="D13" s="23">
        <v>327102.8</v>
      </c>
      <c r="E13" s="23">
        <f>O13*0.3</f>
        <v>36000</v>
      </c>
      <c r="F13" s="23"/>
      <c r="G13" s="23">
        <f t="shared" si="0"/>
        <v>130841.12</v>
      </c>
      <c r="H13" s="27">
        <v>3</v>
      </c>
      <c r="J13" s="21"/>
      <c r="K13" s="23">
        <v>14327</v>
      </c>
      <c r="M13" s="16">
        <v>4164</v>
      </c>
      <c r="N13" s="21" t="s">
        <v>49</v>
      </c>
      <c r="O13" s="17">
        <v>120000</v>
      </c>
      <c r="P13" s="26">
        <f>'[1]Master Schedule'!C13</f>
        <v>46392</v>
      </c>
      <c r="Q13" s="18">
        <v>46336</v>
      </c>
      <c r="S13" s="33" t="s">
        <v>51</v>
      </c>
    </row>
    <row r="14" spans="1:19" s="16" customFormat="1" ht="18.600000000000001" x14ac:dyDescent="0.55000000000000004">
      <c r="A14" s="16" t="s">
        <v>25</v>
      </c>
      <c r="B14" s="21" t="s">
        <v>22</v>
      </c>
      <c r="C14" s="28">
        <v>0.6</v>
      </c>
      <c r="D14" s="23">
        <v>1707089</v>
      </c>
      <c r="E14" s="23">
        <f>O14*0.3</f>
        <v>197003.709</v>
      </c>
      <c r="F14" s="23">
        <v>215</v>
      </c>
      <c r="G14" s="23">
        <f t="shared" si="0"/>
        <v>682835.60000000009</v>
      </c>
      <c r="H14" s="27">
        <v>10</v>
      </c>
      <c r="J14" s="21"/>
      <c r="K14" s="23">
        <v>54190</v>
      </c>
      <c r="M14" s="16">
        <v>20695.969999999972</v>
      </c>
      <c r="N14" s="16" t="s">
        <v>55</v>
      </c>
      <c r="O14" s="17">
        <v>656679.03</v>
      </c>
      <c r="P14" s="26">
        <f>'[1]Master Schedule'!C14</f>
        <v>46042</v>
      </c>
      <c r="Q14" s="18">
        <v>46218</v>
      </c>
      <c r="S14" s="34" t="s">
        <v>66</v>
      </c>
    </row>
    <row r="15" spans="1:19" s="16" customFormat="1" ht="18.600000000000001" x14ac:dyDescent="0.55000000000000004">
      <c r="A15" s="16" t="s">
        <v>26</v>
      </c>
      <c r="B15" s="21" t="s">
        <v>12</v>
      </c>
      <c r="C15" s="22">
        <v>1</v>
      </c>
      <c r="D15" s="23">
        <v>80000</v>
      </c>
      <c r="E15" s="23">
        <f>O15</f>
        <v>40000</v>
      </c>
      <c r="F15" s="23">
        <v>489</v>
      </c>
      <c r="G15" s="23">
        <f>D15*1</f>
        <v>80000</v>
      </c>
      <c r="H15" s="27">
        <v>4</v>
      </c>
      <c r="J15" s="21"/>
      <c r="K15" s="23">
        <v>0</v>
      </c>
      <c r="M15" s="16">
        <v>0</v>
      </c>
      <c r="N15" s="16" t="s">
        <v>54</v>
      </c>
      <c r="O15" s="17">
        <v>40000</v>
      </c>
      <c r="P15" s="26">
        <f>'[1]Master Schedule'!C15</f>
        <v>46168</v>
      </c>
      <c r="Q15" s="18">
        <v>46188</v>
      </c>
      <c r="S15" s="35"/>
    </row>
    <row r="16" spans="1:19" s="16" customFormat="1" ht="18.600000000000001" x14ac:dyDescent="0.55000000000000004">
      <c r="A16" s="16" t="s">
        <v>27</v>
      </c>
      <c r="B16" s="21" t="s">
        <v>22</v>
      </c>
      <c r="C16" s="22">
        <v>0</v>
      </c>
      <c r="D16" s="23">
        <v>1199960.02</v>
      </c>
      <c r="E16" s="23">
        <f>O16*0</f>
        <v>0</v>
      </c>
      <c r="F16" s="23"/>
      <c r="G16" s="23">
        <f>D16*0.4</f>
        <v>479984.00800000003</v>
      </c>
      <c r="H16" s="27">
        <v>0</v>
      </c>
      <c r="K16" s="23">
        <v>27535</v>
      </c>
      <c r="M16" s="16">
        <v>34414</v>
      </c>
      <c r="N16" s="16" t="s">
        <v>56</v>
      </c>
      <c r="O16" s="17">
        <v>430000</v>
      </c>
      <c r="P16" s="26">
        <f>'[1]Master Schedule'!C16</f>
        <v>46198</v>
      </c>
      <c r="Q16" s="18">
        <v>46321</v>
      </c>
      <c r="S16" s="33" t="s">
        <v>51</v>
      </c>
    </row>
    <row r="17" spans="1:19" s="16" customFormat="1" ht="18.600000000000001" x14ac:dyDescent="0.55000000000000004">
      <c r="A17" s="16" t="s">
        <v>28</v>
      </c>
      <c r="B17" s="21" t="s">
        <v>12</v>
      </c>
      <c r="C17" s="22">
        <v>1</v>
      </c>
      <c r="D17" s="23">
        <v>600000</v>
      </c>
      <c r="E17" s="23">
        <f>O17</f>
        <v>234861</v>
      </c>
      <c r="F17" s="23">
        <v>735</v>
      </c>
      <c r="G17" s="23">
        <f>D17*1</f>
        <v>600000</v>
      </c>
      <c r="H17" s="29">
        <v>10</v>
      </c>
      <c r="J17" s="21"/>
      <c r="K17" s="23">
        <v>10000</v>
      </c>
      <c r="M17" s="16">
        <v>0</v>
      </c>
      <c r="N17" s="16" t="s">
        <v>54</v>
      </c>
      <c r="O17" s="17">
        <v>234861</v>
      </c>
      <c r="P17" s="26">
        <f>'[1]Master Schedule'!C17</f>
        <v>46188</v>
      </c>
      <c r="Q17" s="18">
        <v>46139</v>
      </c>
      <c r="S17" s="35"/>
    </row>
    <row r="18" spans="1:19" s="16" customFormat="1" ht="18.600000000000001" x14ac:dyDescent="0.55000000000000004">
      <c r="A18" s="16" t="s">
        <v>29</v>
      </c>
      <c r="B18" s="21" t="s">
        <v>12</v>
      </c>
      <c r="C18" s="22">
        <v>1</v>
      </c>
      <c r="D18" s="23">
        <v>317648</v>
      </c>
      <c r="E18" s="23">
        <f t="shared" si="1"/>
        <v>119980</v>
      </c>
      <c r="F18" s="23"/>
      <c r="G18" s="23">
        <f>D18*1</f>
        <v>317648</v>
      </c>
      <c r="H18" s="29">
        <v>10</v>
      </c>
      <c r="J18" s="21"/>
      <c r="K18" s="23">
        <v>8760</v>
      </c>
      <c r="M18" s="16">
        <v>0</v>
      </c>
      <c r="N18" s="21" t="s">
        <v>53</v>
      </c>
      <c r="O18" s="17">
        <v>119980</v>
      </c>
      <c r="P18" s="26">
        <f>'[1]Master Schedule'!C18</f>
        <v>46200</v>
      </c>
      <c r="Q18" s="18">
        <v>46133</v>
      </c>
      <c r="S18" s="35"/>
    </row>
    <row r="19" spans="1:19" s="16" customFormat="1" ht="18.600000000000001" x14ac:dyDescent="0.55000000000000004">
      <c r="A19" s="16" t="s">
        <v>30</v>
      </c>
      <c r="B19" s="21" t="s">
        <v>22</v>
      </c>
      <c r="C19" s="22">
        <v>0</v>
      </c>
      <c r="D19" s="23">
        <v>832813</v>
      </c>
      <c r="E19" s="23">
        <f>O19*0.3</f>
        <v>84000</v>
      </c>
      <c r="F19" s="23">
        <v>630</v>
      </c>
      <c r="G19" s="23">
        <f>455555</f>
        <v>455555</v>
      </c>
      <c r="H19" s="29">
        <v>3</v>
      </c>
      <c r="J19" s="21"/>
      <c r="K19" s="23">
        <v>35070</v>
      </c>
      <c r="M19" s="16">
        <v>7702</v>
      </c>
      <c r="N19" s="21" t="s">
        <v>53</v>
      </c>
      <c r="O19" s="17">
        <v>280000</v>
      </c>
      <c r="P19" s="26">
        <f>'Master Schedule'!C33</f>
        <v>46091</v>
      </c>
      <c r="Q19" s="18">
        <v>46295</v>
      </c>
      <c r="S19" s="34" t="s">
        <v>70</v>
      </c>
    </row>
    <row r="20" spans="1:19" s="16" customFormat="1" ht="18.600000000000001" x14ac:dyDescent="0.55000000000000004">
      <c r="A20" s="16" t="s">
        <v>31</v>
      </c>
      <c r="B20" s="30" t="s">
        <v>22</v>
      </c>
      <c r="C20" s="22">
        <v>0.9</v>
      </c>
      <c r="D20" s="31"/>
      <c r="E20" s="32"/>
      <c r="F20" s="16">
        <v>255</v>
      </c>
      <c r="G20" s="19"/>
      <c r="H20" s="16">
        <v>3</v>
      </c>
      <c r="K20" s="16">
        <v>0</v>
      </c>
      <c r="M20" s="16">
        <v>0</v>
      </c>
      <c r="O20" s="17"/>
      <c r="P20" s="26">
        <v>45717</v>
      </c>
      <c r="Q20" s="26">
        <v>45737</v>
      </c>
      <c r="S20" s="34" t="s">
        <v>68</v>
      </c>
    </row>
    <row r="21" spans="1:19" s="16" customFormat="1" ht="18.600000000000001" x14ac:dyDescent="0.55000000000000004">
      <c r="A21" s="16" t="s">
        <v>32</v>
      </c>
      <c r="B21" s="30" t="s">
        <v>22</v>
      </c>
      <c r="C21" s="22">
        <v>0.9</v>
      </c>
      <c r="E21" s="32"/>
      <c r="H21" s="16">
        <v>6</v>
      </c>
      <c r="K21" s="16">
        <v>0</v>
      </c>
      <c r="M21" s="16">
        <v>0</v>
      </c>
      <c r="O21" s="17"/>
      <c r="P21" s="26">
        <v>45717</v>
      </c>
      <c r="Q21" s="26">
        <v>45737</v>
      </c>
      <c r="S21" s="34" t="s">
        <v>69</v>
      </c>
    </row>
    <row r="22" spans="1:19" s="20" customFormat="1" ht="15.6" x14ac:dyDescent="0.3"/>
    <row r="23" spans="1:19" s="20" customFormat="1" ht="15.6" x14ac:dyDescent="0.3"/>
    <row r="24" spans="1:19" s="20" customFormat="1" ht="15.6" x14ac:dyDescent="0.3"/>
    <row r="25" spans="1:19" s="20" customFormat="1" ht="15.6" x14ac:dyDescent="0.3"/>
    <row r="26" spans="1:19" s="20" customFormat="1" ht="15.6" x14ac:dyDescent="0.3"/>
    <row r="27" spans="1:19" s="20" customFormat="1" ht="15.6" x14ac:dyDescent="0.3"/>
    <row r="28" spans="1:19" s="20" customFormat="1" ht="15.6" x14ac:dyDescent="0.3"/>
    <row r="29" spans="1:19" s="20" customFormat="1" ht="15.6" x14ac:dyDescent="0.3"/>
    <row r="30" spans="1:19" s="20" customFormat="1" ht="15.6" x14ac:dyDescent="0.3"/>
    <row r="31" spans="1:19" s="20" customFormat="1" ht="15.6" x14ac:dyDescent="0.3"/>
    <row r="32" spans="1:19" s="20" customFormat="1" ht="15.6" x14ac:dyDescent="0.3"/>
    <row r="33" s="20" customFormat="1" ht="15.6" x14ac:dyDescent="0.3"/>
    <row r="34" s="20" customFormat="1" ht="15.6" x14ac:dyDescent="0.3"/>
    <row r="35" s="20" customFormat="1" ht="15.6" x14ac:dyDescent="0.3"/>
    <row r="36" s="20" customFormat="1" ht="15.6" x14ac:dyDescent="0.3"/>
    <row r="37" s="20" customFormat="1" ht="15.6" x14ac:dyDescent="0.3"/>
    <row r="38" s="20" customFormat="1" ht="15.6" x14ac:dyDescent="0.3"/>
    <row r="39" s="20" customFormat="1" ht="15.6" x14ac:dyDescent="0.3"/>
    <row r="40" s="9" customFormat="1" ht="15.6" x14ac:dyDescent="0.3"/>
    <row r="41" s="9" customFormat="1" ht="15.6" x14ac:dyDescent="0.3"/>
    <row r="42" s="9" customFormat="1" ht="15.6" x14ac:dyDescent="0.3"/>
    <row r="43" s="9" customFormat="1" ht="15.6" x14ac:dyDescent="0.3"/>
    <row r="44" s="9" customFormat="1" ht="15.6" x14ac:dyDescent="0.3"/>
    <row r="45" s="9" customFormat="1" ht="15.6" x14ac:dyDescent="0.3"/>
    <row r="46" s="9" customFormat="1" ht="15.6" x14ac:dyDescent="0.3"/>
    <row r="47" s="9" customFormat="1" ht="15.6" x14ac:dyDescent="0.3"/>
    <row r="48" s="9" customFormat="1" ht="15.6" x14ac:dyDescent="0.3"/>
    <row r="49" s="9" customFormat="1" ht="15.6" x14ac:dyDescent="0.3"/>
    <row r="50" s="9" customFormat="1" ht="15.6" x14ac:dyDescent="0.3"/>
    <row r="51" s="9" customFormat="1" ht="15.6" x14ac:dyDescent="0.3"/>
    <row r="52" s="9" customFormat="1" ht="15.6" x14ac:dyDescent="0.3"/>
    <row r="53" s="9" customFormat="1" ht="15.6" x14ac:dyDescent="0.3"/>
    <row r="54" s="9" customFormat="1" ht="15.6" x14ac:dyDescent="0.3"/>
    <row r="55" s="9" customFormat="1" ht="15.6" x14ac:dyDescent="0.3"/>
    <row r="56" s="9" customFormat="1" ht="15.6" x14ac:dyDescent="0.3"/>
    <row r="57" s="9" customFormat="1" ht="15.6" x14ac:dyDescent="0.3"/>
    <row r="58" s="9" customFormat="1" ht="15.6" x14ac:dyDescent="0.3"/>
    <row r="59" s="9" customFormat="1" ht="15.6" x14ac:dyDescent="0.3"/>
    <row r="60" s="9" customFormat="1" ht="15.6" x14ac:dyDescent="0.3"/>
    <row r="61" s="9" customFormat="1" ht="15.6" x14ac:dyDescent="0.3"/>
    <row r="62" s="9" customFormat="1" ht="15.6" x14ac:dyDescent="0.3"/>
    <row r="63" s="9" customFormat="1" ht="15.6" x14ac:dyDescent="0.3"/>
    <row r="64" s="9" customFormat="1" ht="15.6" x14ac:dyDescent="0.3"/>
    <row r="65" s="9" customFormat="1" ht="15.6" x14ac:dyDescent="0.3"/>
    <row r="66" s="9" customFormat="1" ht="15.6" x14ac:dyDescent="0.3"/>
    <row r="67" s="9" customFormat="1" ht="15.6" x14ac:dyDescent="0.3"/>
    <row r="68" s="9" customFormat="1" ht="15.6" x14ac:dyDescent="0.3"/>
    <row r="69" s="9" customFormat="1" ht="15.6" x14ac:dyDescent="0.3"/>
    <row r="70" s="9" customFormat="1" ht="15.6" x14ac:dyDescent="0.3"/>
    <row r="71" s="9" customFormat="1" ht="15.6" x14ac:dyDescent="0.3"/>
    <row r="72" s="9" customFormat="1" ht="15.6" x14ac:dyDescent="0.3"/>
    <row r="73" s="9" customFormat="1" ht="15.6" x14ac:dyDescent="0.3"/>
    <row r="74" s="9" customFormat="1" ht="15.6" x14ac:dyDescent="0.3"/>
    <row r="75" s="9" customFormat="1" ht="15.6" x14ac:dyDescent="0.3"/>
    <row r="76" s="9" customFormat="1" ht="15.6" x14ac:dyDescent="0.3"/>
    <row r="77" s="9" customFormat="1" ht="15.6" x14ac:dyDescent="0.3"/>
    <row r="78" s="9" customFormat="1" ht="15.6" x14ac:dyDescent="0.3"/>
    <row r="79" s="9" customFormat="1" ht="15.6" x14ac:dyDescent="0.3"/>
    <row r="80" s="9" customFormat="1" ht="15.6" x14ac:dyDescent="0.3"/>
    <row r="81" s="9" customFormat="1" ht="15.6" x14ac:dyDescent="0.3"/>
    <row r="82" s="9" customFormat="1" ht="15.6" x14ac:dyDescent="0.3"/>
    <row r="83" s="9" customFormat="1" ht="15.6" x14ac:dyDescent="0.3"/>
    <row r="84" s="9" customFormat="1" ht="15.6" x14ac:dyDescent="0.3"/>
    <row r="85" s="9" customFormat="1" ht="15.6" x14ac:dyDescent="0.3"/>
    <row r="86" s="9" customFormat="1" ht="15.6" x14ac:dyDescent="0.3"/>
    <row r="87" s="9" customFormat="1" ht="15.6" x14ac:dyDescent="0.3"/>
    <row r="88" s="9" customFormat="1" ht="15.6" x14ac:dyDescent="0.3"/>
    <row r="89" s="9" customFormat="1" ht="15.6" x14ac:dyDescent="0.3"/>
    <row r="90" s="9" customFormat="1" ht="15.6" x14ac:dyDescent="0.3"/>
    <row r="91" s="9" customFormat="1" ht="15.6" x14ac:dyDescent="0.3"/>
    <row r="92" s="9" customFormat="1" ht="15.6" x14ac:dyDescent="0.3"/>
    <row r="93" s="9" customFormat="1" ht="15.6" x14ac:dyDescent="0.3"/>
    <row r="94" s="9" customFormat="1" ht="15.6" x14ac:dyDescent="0.3"/>
    <row r="95" s="9" customFormat="1" ht="15.6" x14ac:dyDescent="0.3"/>
    <row r="96" s="9" customFormat="1" ht="15.6" x14ac:dyDescent="0.3"/>
    <row r="97" s="9" customFormat="1" ht="15.6" x14ac:dyDescent="0.3"/>
    <row r="98" s="9" customFormat="1" ht="15.6" x14ac:dyDescent="0.3"/>
    <row r="99" s="9" customFormat="1" ht="15.6" x14ac:dyDescent="0.3"/>
    <row r="100" s="9" customFormat="1" ht="15.6" x14ac:dyDescent="0.3"/>
    <row r="101" s="9" customFormat="1" ht="15.6" x14ac:dyDescent="0.3"/>
    <row r="102" s="9" customFormat="1" ht="15.6" x14ac:dyDescent="0.3"/>
    <row r="103" s="9" customFormat="1" ht="15.6" x14ac:dyDescent="0.3"/>
    <row r="104" s="9" customFormat="1" ht="15.6" x14ac:dyDescent="0.3"/>
    <row r="105" s="9" customFormat="1" ht="15.6" x14ac:dyDescent="0.3"/>
    <row r="106" s="9" customFormat="1" ht="15.6" x14ac:dyDescent="0.3"/>
    <row r="107" s="9" customFormat="1" ht="15.6" x14ac:dyDescent="0.3"/>
    <row r="108" s="9" customFormat="1" ht="15.6" x14ac:dyDescent="0.3"/>
    <row r="109" s="9" customFormat="1" ht="15.6" x14ac:dyDescent="0.3"/>
    <row r="110" s="9" customFormat="1" ht="15.6" x14ac:dyDescent="0.3"/>
    <row r="111" s="9" customFormat="1" ht="15.6" x14ac:dyDescent="0.3"/>
    <row r="112" s="9" customFormat="1" ht="15.6" x14ac:dyDescent="0.3"/>
    <row r="113" s="9" customFormat="1" ht="15.6" x14ac:dyDescent="0.3"/>
    <row r="114" s="9" customFormat="1" ht="15.6" x14ac:dyDescent="0.3"/>
    <row r="115" s="9" customFormat="1" ht="15.6" x14ac:dyDescent="0.3"/>
    <row r="116" s="9" customFormat="1" ht="15.6" x14ac:dyDescent="0.3"/>
    <row r="117" s="9" customFormat="1" ht="15.6" x14ac:dyDescent="0.3"/>
    <row r="118" s="9" customFormat="1" ht="15.6" x14ac:dyDescent="0.3"/>
    <row r="119" s="9" customFormat="1" ht="15.6" x14ac:dyDescent="0.3"/>
    <row r="120" s="9" customFormat="1" ht="15.6" x14ac:dyDescent="0.3"/>
    <row r="121" s="9" customFormat="1" ht="15.6" x14ac:dyDescent="0.3"/>
    <row r="122" s="9" customFormat="1" ht="15.6" x14ac:dyDescent="0.3"/>
    <row r="123" s="9" customFormat="1" ht="15.6" x14ac:dyDescent="0.3"/>
    <row r="124" s="9" customFormat="1" ht="15.6" x14ac:dyDescent="0.3"/>
    <row r="125" s="9" customFormat="1" ht="15.6" x14ac:dyDescent="0.3"/>
    <row r="126" s="9" customFormat="1" ht="15.6" x14ac:dyDescent="0.3"/>
    <row r="127" s="9" customFormat="1" ht="15.6" x14ac:dyDescent="0.3"/>
    <row r="128" s="9" customFormat="1" ht="15.6" x14ac:dyDescent="0.3"/>
    <row r="129" s="9" customFormat="1" ht="15.6" x14ac:dyDescent="0.3"/>
    <row r="130" s="9" customFormat="1" ht="15.6" x14ac:dyDescent="0.3"/>
    <row r="131" s="9" customFormat="1" ht="15.6" x14ac:dyDescent="0.3"/>
    <row r="132" s="9" customFormat="1" ht="15.6" x14ac:dyDescent="0.3"/>
    <row r="133" s="9" customFormat="1" ht="15.6" x14ac:dyDescent="0.3"/>
    <row r="134" s="9" customFormat="1" ht="15.6" x14ac:dyDescent="0.3"/>
    <row r="135" s="9" customFormat="1" ht="15.6" x14ac:dyDescent="0.3"/>
    <row r="136" s="9" customFormat="1" ht="15.6" x14ac:dyDescent="0.3"/>
    <row r="137" s="9" customFormat="1" ht="15.6" x14ac:dyDescent="0.3"/>
    <row r="138" s="9" customFormat="1" ht="15.6" x14ac:dyDescent="0.3"/>
    <row r="139" s="9" customFormat="1" ht="15.6" x14ac:dyDescent="0.3"/>
    <row r="140" s="9" customFormat="1" ht="15.6" x14ac:dyDescent="0.3"/>
    <row r="141" s="9" customFormat="1" ht="15.6" x14ac:dyDescent="0.3"/>
    <row r="142" s="9" customFormat="1" ht="15.6" x14ac:dyDescent="0.3"/>
    <row r="143" s="9" customFormat="1" ht="15.6" x14ac:dyDescent="0.3"/>
    <row r="144" s="9" customFormat="1" ht="15.6" x14ac:dyDescent="0.3"/>
    <row r="145" s="9" customFormat="1" ht="15.6" x14ac:dyDescent="0.3"/>
    <row r="146" s="9" customFormat="1" ht="15.6" x14ac:dyDescent="0.3"/>
    <row r="147" s="9" customFormat="1" ht="15.6" x14ac:dyDescent="0.3"/>
    <row r="148" s="9" customFormat="1" ht="15.6" x14ac:dyDescent="0.3"/>
    <row r="149" s="9" customFormat="1" ht="15.6" x14ac:dyDescent="0.3"/>
    <row r="150" s="9" customFormat="1" ht="15.6" x14ac:dyDescent="0.3"/>
    <row r="151" s="9" customFormat="1" ht="15.6" x14ac:dyDescent="0.3"/>
    <row r="152" s="9" customFormat="1" ht="15.6" x14ac:dyDescent="0.3"/>
    <row r="153" s="9" customFormat="1" ht="15.6" x14ac:dyDescent="0.3"/>
    <row r="154" s="9" customFormat="1" ht="15.6" x14ac:dyDescent="0.3"/>
    <row r="155" s="9" customFormat="1" ht="15.6" x14ac:dyDescent="0.3"/>
    <row r="156" s="9" customFormat="1" ht="15.6" x14ac:dyDescent="0.3"/>
    <row r="157" s="9" customFormat="1" ht="15.6" x14ac:dyDescent="0.3"/>
    <row r="158" s="9" customFormat="1" ht="15.6" x14ac:dyDescent="0.3"/>
    <row r="159" s="9" customFormat="1" ht="15.6" x14ac:dyDescent="0.3"/>
    <row r="160" s="9" customFormat="1" ht="15.6" x14ac:dyDescent="0.3"/>
    <row r="161" s="9" customFormat="1" ht="15.6" x14ac:dyDescent="0.3"/>
    <row r="162" s="9" customFormat="1" ht="15.6" x14ac:dyDescent="0.3"/>
    <row r="163" s="9" customFormat="1" ht="15.6" x14ac:dyDescent="0.3"/>
    <row r="164" s="9" customFormat="1" ht="15.6" x14ac:dyDescent="0.3"/>
    <row r="165" s="9" customFormat="1" ht="15.6" x14ac:dyDescent="0.3"/>
    <row r="166" s="9" customFormat="1" ht="15.6" x14ac:dyDescent="0.3"/>
    <row r="167" s="9" customFormat="1" ht="15.6" x14ac:dyDescent="0.3"/>
    <row r="168" s="9" customFormat="1" ht="15.6" x14ac:dyDescent="0.3"/>
    <row r="169" s="9" customFormat="1" ht="15.6" x14ac:dyDescent="0.3"/>
    <row r="170" s="9" customFormat="1" ht="15.6" x14ac:dyDescent="0.3"/>
    <row r="171" s="9" customFormat="1" ht="15.6" x14ac:dyDescent="0.3"/>
    <row r="172" s="9" customFormat="1" ht="15.6" x14ac:dyDescent="0.3"/>
    <row r="173" s="9" customFormat="1" ht="15.6" x14ac:dyDescent="0.3"/>
    <row r="174" s="9" customFormat="1" ht="15.6" x14ac:dyDescent="0.3"/>
    <row r="175" s="9" customFormat="1" ht="15.6" x14ac:dyDescent="0.3"/>
    <row r="176" s="9" customFormat="1" ht="15.6" x14ac:dyDescent="0.3"/>
    <row r="177" s="9" customFormat="1" ht="15.6" x14ac:dyDescent="0.3"/>
    <row r="178" s="9" customFormat="1" ht="15.6" x14ac:dyDescent="0.3"/>
    <row r="179" s="9" customFormat="1" ht="15.6" x14ac:dyDescent="0.3"/>
    <row r="180" s="9" customFormat="1" ht="15.6" x14ac:dyDescent="0.3"/>
    <row r="181" s="9" customFormat="1" ht="15.6" x14ac:dyDescent="0.3"/>
    <row r="182" s="9" customFormat="1" ht="15.6" x14ac:dyDescent="0.3"/>
    <row r="183" s="9" customFormat="1" ht="15.6" x14ac:dyDescent="0.3"/>
    <row r="184" s="9" customFormat="1" ht="15.6" x14ac:dyDescent="0.3"/>
    <row r="185" s="9" customFormat="1" ht="15.6" x14ac:dyDescent="0.3"/>
    <row r="186" s="9" customFormat="1" ht="15.6" x14ac:dyDescent="0.3"/>
    <row r="187" s="9" customFormat="1" ht="15.6" x14ac:dyDescent="0.3"/>
    <row r="188" s="9" customFormat="1" ht="15.6" x14ac:dyDescent="0.3"/>
  </sheetData>
  <mergeCells count="2">
    <mergeCell ref="A2:S2"/>
    <mergeCell ref="A1:S1"/>
  </mergeCells>
  <dataValidations disablePrompts="1" count="1">
    <dataValidation type="list" allowBlank="1" sqref="B5:B39" xr:uid="{00000000-0002-0000-0100-000000000000}">
      <formula1>"Construction,Completed,Planning,On Hold"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8"/>
  <sheetViews>
    <sheetView workbookViewId="0">
      <pane ySplit="4" topLeftCell="A5" activePane="bottomLeft" state="frozen"/>
      <selection pane="bottomLeft" activeCell="F16" sqref="F16"/>
    </sheetView>
  </sheetViews>
  <sheetFormatPr defaultRowHeight="14.4" x14ac:dyDescent="0.3"/>
  <cols>
    <col min="1" max="1" width="14" customWidth="1"/>
    <col min="2" max="2" width="22" customWidth="1"/>
    <col min="3" max="3" width="18" customWidth="1"/>
  </cols>
  <sheetData>
    <row r="1" spans="1:3" ht="17.399999999999999" x14ac:dyDescent="0.3">
      <c r="A1" s="10" t="s">
        <v>57</v>
      </c>
      <c r="B1" s="11"/>
      <c r="C1" s="11"/>
    </row>
    <row r="2" spans="1:3" x14ac:dyDescent="0.3">
      <c r="A2" s="15" t="s">
        <v>58</v>
      </c>
      <c r="B2" s="11"/>
      <c r="C2" s="11"/>
    </row>
    <row r="4" spans="1:3" x14ac:dyDescent="0.3">
      <c r="A4" s="1" t="s">
        <v>59</v>
      </c>
      <c r="B4" s="1" t="s">
        <v>60</v>
      </c>
      <c r="C4" s="1" t="s">
        <v>61</v>
      </c>
    </row>
    <row r="5" spans="1:3" x14ac:dyDescent="0.3">
      <c r="A5" s="6"/>
      <c r="B5" s="5"/>
      <c r="C5" s="8"/>
    </row>
    <row r="6" spans="1:3" x14ac:dyDescent="0.3">
      <c r="A6" s="6"/>
      <c r="B6" s="5"/>
      <c r="C6" s="8"/>
    </row>
    <row r="7" spans="1:3" x14ac:dyDescent="0.3">
      <c r="A7" s="6">
        <v>46185</v>
      </c>
      <c r="B7" s="5" t="s">
        <v>62</v>
      </c>
      <c r="C7" s="8">
        <v>4</v>
      </c>
    </row>
    <row r="8" spans="1:3" x14ac:dyDescent="0.3">
      <c r="A8" s="6">
        <v>46189</v>
      </c>
      <c r="B8" s="5" t="s">
        <v>62</v>
      </c>
      <c r="C8" s="8">
        <v>4</v>
      </c>
    </row>
    <row r="9" spans="1:3" x14ac:dyDescent="0.3">
      <c r="A9" s="6">
        <v>46183</v>
      </c>
      <c r="B9" s="5" t="s">
        <v>63</v>
      </c>
      <c r="C9" s="8">
        <v>3</v>
      </c>
    </row>
    <row r="10" spans="1:3" x14ac:dyDescent="0.3">
      <c r="A10" s="6">
        <v>46185</v>
      </c>
      <c r="B10" s="5" t="s">
        <v>64</v>
      </c>
      <c r="C10" s="8">
        <v>2.5</v>
      </c>
    </row>
    <row r="11" spans="1:3" x14ac:dyDescent="0.3">
      <c r="A11" s="6">
        <v>46190</v>
      </c>
      <c r="B11" s="5" t="s">
        <v>62</v>
      </c>
      <c r="C11" s="8">
        <v>3</v>
      </c>
    </row>
    <row r="12" spans="1:3" x14ac:dyDescent="0.3">
      <c r="A12" s="6">
        <v>46190</v>
      </c>
      <c r="B12" s="5" t="s">
        <v>64</v>
      </c>
      <c r="C12" s="8">
        <v>3</v>
      </c>
    </row>
    <row r="13" spans="1:3" x14ac:dyDescent="0.3">
      <c r="A13" s="6">
        <v>46192</v>
      </c>
      <c r="B13" s="5" t="s">
        <v>62</v>
      </c>
      <c r="C13" s="8">
        <v>3</v>
      </c>
    </row>
    <row r="14" spans="1:3" x14ac:dyDescent="0.3">
      <c r="A14" s="6">
        <v>46197</v>
      </c>
      <c r="B14" s="5" t="s">
        <v>64</v>
      </c>
      <c r="C14" s="8">
        <v>3</v>
      </c>
    </row>
    <row r="15" spans="1:3" x14ac:dyDescent="0.3">
      <c r="A15" s="3">
        <v>46198</v>
      </c>
      <c r="B15" s="5" t="s">
        <v>62</v>
      </c>
      <c r="C15" s="4">
        <v>6</v>
      </c>
    </row>
    <row r="16" spans="1:3" x14ac:dyDescent="0.3">
      <c r="A16" s="3">
        <v>46202</v>
      </c>
      <c r="B16" s="5" t="s">
        <v>62</v>
      </c>
      <c r="C16" s="4">
        <v>6</v>
      </c>
    </row>
    <row r="17" spans="1:3" x14ac:dyDescent="0.3">
      <c r="A17" s="3">
        <v>46205</v>
      </c>
      <c r="B17" s="5" t="s">
        <v>62</v>
      </c>
      <c r="C17" s="4">
        <v>4</v>
      </c>
    </row>
    <row r="18" spans="1:3" x14ac:dyDescent="0.3">
      <c r="A18" s="3">
        <v>46206</v>
      </c>
      <c r="B18" s="5" t="s">
        <v>62</v>
      </c>
      <c r="C18" s="4">
        <v>4</v>
      </c>
    </row>
    <row r="19" spans="1:3" x14ac:dyDescent="0.3">
      <c r="A19" s="3">
        <v>46209</v>
      </c>
      <c r="B19" s="5" t="s">
        <v>62</v>
      </c>
      <c r="C19" s="4">
        <v>3</v>
      </c>
    </row>
    <row r="20" spans="1:3" x14ac:dyDescent="0.3">
      <c r="A20" s="3"/>
      <c r="B20" s="2"/>
      <c r="C20" s="4"/>
    </row>
    <row r="21" spans="1:3" x14ac:dyDescent="0.3">
      <c r="A21" s="3"/>
      <c r="B21" s="2"/>
      <c r="C21" s="4"/>
    </row>
    <row r="22" spans="1:3" x14ac:dyDescent="0.3">
      <c r="A22" s="3"/>
      <c r="B22" s="2"/>
      <c r="C22" s="4"/>
    </row>
    <row r="23" spans="1:3" x14ac:dyDescent="0.3">
      <c r="A23" s="3"/>
      <c r="B23" s="2"/>
      <c r="C23" s="4"/>
    </row>
    <row r="24" spans="1:3" x14ac:dyDescent="0.3">
      <c r="A24" s="3"/>
      <c r="B24" s="2"/>
      <c r="C24" s="4"/>
    </row>
    <row r="25" spans="1:3" x14ac:dyDescent="0.3">
      <c r="A25" s="3"/>
      <c r="B25" s="2"/>
      <c r="C25" s="4"/>
    </row>
    <row r="26" spans="1:3" x14ac:dyDescent="0.3">
      <c r="A26" s="3"/>
      <c r="B26" s="2"/>
      <c r="C26" s="4"/>
    </row>
    <row r="27" spans="1:3" x14ac:dyDescent="0.3">
      <c r="A27" s="3"/>
      <c r="B27" s="2"/>
      <c r="C27" s="4"/>
    </row>
    <row r="28" spans="1:3" x14ac:dyDescent="0.3">
      <c r="A28" s="3"/>
      <c r="B28" s="2"/>
      <c r="C28" s="4"/>
    </row>
  </sheetData>
  <mergeCells count="2">
    <mergeCell ref="A1:C1"/>
    <mergeCell ref="A2:C2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plete xmlns="d1b9d38e-82c4-40dd-a627-c28ab9108e1c" xsi:nil="true"/>
    <lcf76f155ced4ddcb4097134ff3c332f xmlns="d1b9d38e-82c4-40dd-a627-c28ab9108e1c">
      <Terms xmlns="http://schemas.microsoft.com/office/infopath/2007/PartnerControls"/>
    </lcf76f155ced4ddcb4097134ff3c332f>
    <TaxCatchAll xmlns="2d1b07a1-7849-4740-a4b1-3343cd5aadb6" xsi:nil="true"/>
    <DateStart xmlns="d1b9d38e-82c4-40dd-a627-c28ab9108e1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D2D49705E83042817996DE5E733B41" ma:contentTypeVersion="18" ma:contentTypeDescription="Create a new document." ma:contentTypeScope="" ma:versionID="ba94834c452bdfc5c8776e4d6f86dfb3">
  <xsd:schema xmlns:xsd="http://www.w3.org/2001/XMLSchema" xmlns:xs="http://www.w3.org/2001/XMLSchema" xmlns:p="http://schemas.microsoft.com/office/2006/metadata/properties" xmlns:ns2="d1b9d38e-82c4-40dd-a627-c28ab9108e1c" xmlns:ns3="2d1b07a1-7849-4740-a4b1-3343cd5aadb6" targetNamespace="http://schemas.microsoft.com/office/2006/metadata/properties" ma:root="true" ma:fieldsID="ff4bedaaabc80ab55b5467b16ce003eb" ns2:_="" ns3:_="">
    <xsd:import namespace="d1b9d38e-82c4-40dd-a627-c28ab9108e1c"/>
    <xsd:import namespace="2d1b07a1-7849-4740-a4b1-3343cd5aadb6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DateStart" minOccurs="0"/>
                <xsd:element ref="ns2:Complet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b9d38e-82c4-40dd-a627-c28ab9108e1c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afb6db77-3ef7-43e7-ae0d-97c1bb5e83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DateStart" ma:index="23" nillable="true" ma:displayName="Date Start" ma:format="DateOnly" ma:internalName="DateStart">
      <xsd:simpleType>
        <xsd:restriction base="dms:DateTime"/>
      </xsd:simpleType>
    </xsd:element>
    <xsd:element name="Complete" ma:index="24" nillable="true" ma:displayName="Complete Date" ma:format="DateOnly" ma:internalName="Complete">
      <xsd:simpleType>
        <xsd:restriction base="dms:DateTim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1b07a1-7849-4740-a4b1-3343cd5aadb6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f20b5557-e70c-4568-8457-3e6232196297}" ma:internalName="TaxCatchAll" ma:showField="CatchAllData" ma:web="2d1b07a1-7849-4740-a4b1-3343cd5aad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35994A7-6E6B-494E-A465-C3E876960F0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B14C1EB-02DF-450B-8928-EA02D20EAB49}">
  <ds:schemaRefs>
    <ds:schemaRef ds:uri="http://schemas.microsoft.com/office/2006/metadata/properties"/>
    <ds:schemaRef ds:uri="http://schemas.microsoft.com/office/infopath/2007/PartnerControls"/>
    <ds:schemaRef ds:uri="d1b9d38e-82c4-40dd-a627-c28ab9108e1c"/>
    <ds:schemaRef ds:uri="2d1b07a1-7849-4740-a4b1-3343cd5aadb6"/>
  </ds:schemaRefs>
</ds:datastoreItem>
</file>

<file path=customXml/itemProps3.xml><?xml version="1.0" encoding="utf-8"?>
<ds:datastoreItem xmlns:ds="http://schemas.openxmlformats.org/officeDocument/2006/customXml" ds:itemID="{7CD2A335-1DEC-4C21-977A-9ED57024A1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b9d38e-82c4-40dd-a627-c28ab9108e1c"/>
    <ds:schemaRef ds:uri="2d1b07a1-7849-4740-a4b1-3343cd5aad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</vt:i4>
      </vt:variant>
    </vt:vector>
  </HeadingPairs>
  <TitlesOfParts>
    <vt:vector size="3" baseType="lpstr">
      <vt:lpstr>Master Schedule</vt:lpstr>
      <vt:lpstr>Summary Report</vt:lpstr>
      <vt:lpstr>Site Visit Log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Warid Yuwachotiphan</cp:lastModifiedBy>
  <cp:revision/>
  <dcterms:created xsi:type="dcterms:W3CDTF">2026-06-25T02:12:24Z</dcterms:created>
  <dcterms:modified xsi:type="dcterms:W3CDTF">2026-07-06T09:41:39Z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0x0101008ED2D49705E83042817996DE5E733B41</vt:lpwstr>
  </property>
  <property fmtid="{D5CDD505-2E9C-101B-9397-08002B2CF9AE}" pid="3" name="MediaServiceImageTags">
    <vt:lpwstr/>
  </property>
</Properties>
</file>