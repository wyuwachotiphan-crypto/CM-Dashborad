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72CB2A7A-2962-4EAB-A878-3182C00F76E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H14" i="2"/>
  <c r="N24" i="2"/>
  <c r="L24" i="2"/>
  <c r="H24" i="2"/>
  <c r="H23" i="2"/>
  <c r="F5" i="2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<sst xmlns="http://schemas.openxmlformats.org/spreadsheetml/2006/main" count="300" uniqueCount="130">
  <si>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</si>
  <si>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</si>
  <si>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</si>
  <si>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</si>
  <si>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</si>
  <si>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</si>
  <si>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</si>
  <si>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</si>
  <si>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</si>
  <si>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</si>
  <si>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</si>
  <si>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</si>
  <si>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</si>
  <si>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</si>
  <si>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</si>
  <si>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</si>
  <si>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</si>
  <si>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</si>
  <si>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</si>
  <si>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</si>
  <si>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</si>
  <si>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</si>
  <si>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</si>
  <si>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</si>
  <si>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</si>
  <si>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</si>
  <si>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</si>
  <si>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</si>
  <si>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</si>
  <si>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</si>
  <si>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</si>
  <si>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</si>
  <si>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</si>
  <si>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</si>
  <si>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</si>
  <si>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</si>
  <si>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</si>
  <si>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</si>
  <si>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</si>
  <si>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</si>
  <si>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</si>
  <si>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</si>
  <si>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</si>
  <si>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</si>
  <si>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</si>
  <si>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</si>
  <si>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</si>
  <si>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</si>
  <si>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</si>
  <si>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</si>
  <si>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</si>
  <si>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</si>
  <si>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</si>
  <si>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</si>
  <si>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</si>
  <si>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</si>
  <si>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</si>
  <si>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</si>
  <si>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</si>
  <si>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</si>
  <si>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</si>
  <si>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</si>
  <si>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</si>
  <si>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</si>
  <si>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</si>
  <si>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</si>
  <si>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</si>
  <si>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</si>
  <si>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</si>
  <si>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</si>
  <si>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</si>
  <si>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</si>
  <si>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</si>
  <si>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</si>
  <si>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</si>
  <si>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</si>
  <si>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</si>
  <si>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</si>
  <si>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</si>
  <si>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</si>
  <si>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</si>
  <si>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</si>
  <si>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</si>
  <si>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</si>
  <si>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</si>
  <si>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</si>
  <si>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</si>
  <si>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</si>
  <si>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</si>
  <si>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</si>
  <si>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</si>
  <si>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</si>
  <si>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</si>
  <si>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</si>
  <si>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</si>
  <si>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</si>
  <si>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</si>
  <si>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</si>
  <si>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</si>
  <si>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</si>
  <si>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</si>
  <si>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</si>
  <si>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</si>
  <si>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</si>
  <si>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บริษัท NAME 7 AIR</t>
  </si>
  <si>
    <t>รอสรุปแผนงานหลังจากสำรวจหน้างาน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</si>
  <si>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</si>
  <si>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</si>
  <si>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</si>
  <si>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</si>
  <si>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</si>
  <si>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</si>
  <si>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</si>
  <si>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</si>
  <si>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</si>
  <si>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K'Sarut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</si>
  <si>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</si>
  <si>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</si>
  <si>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</si>
  <si>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</si>
  <si>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</si>
  <si>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</si>
  <si>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</si>
  <si>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</si>
  <si>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ติดตามหน้างาน</t>
  </si>
  <si>
    <t>K'Bamrung House</t>
  </si>
  <si>
    <t>ส่งมอบงาน Firt fix</t>
  </si>
  <si>
    <t>ส่งมอบงาน งวดสุดท้าย</t>
  </si>
  <si>
    <t>Site Meeting</t>
  </si>
  <si>
    <t>กันตพัฒน์ มากมูล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</si>
</sst>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5" activePane="bottomLeft" state="frozen"/>
      <selection pane="bottomLeft" activeCell="K26" sqref="K26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>
      <c r="A2" s="59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74</v>
      </c>
      <c r="F4" s="1" t="s">
        <v>75</v>
      </c>
      <c r="G4" s="1" t="s">
        <v>6</v>
      </c>
      <c r="H4" s="1" t="s">
        <v>7</v>
      </c>
      <c r="I4" s="1" t="s">
        <v>8</v>
      </c>
      <c r="J4" s="1" t="s">
        <v>76</v>
      </c>
      <c r="K4" s="1" t="s">
        <v>9</v>
      </c>
    </row>
    <row r="5" spans="1:11">
      <c r="A5" s="65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6">
        <v>46213</v>
      </c>
      <c r="J5" s="66"/>
      <c r="K5" s="49"/>
    </row>
    <row r="6" spans="1:11" ht="15" thickBot="1">
      <c r="A6" s="61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1"/>
      <c r="J6" s="67"/>
      <c r="K6" s="50"/>
    </row>
    <row r="7" spans="1:11">
      <c r="A7" s="60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2" t="s">
        <v>16</v>
      </c>
      <c r="J7" s="62"/>
      <c r="K7" s="51"/>
    </row>
    <row r="8" spans="1:11" ht="15" thickBot="1">
      <c r="A8" s="61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1"/>
      <c r="J8" s="67"/>
      <c r="K8" s="50"/>
    </row>
    <row r="9" spans="1:11">
      <c r="A9" s="60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2">
        <v>46218</v>
      </c>
      <c r="J9" s="62"/>
      <c r="K9" s="51"/>
    </row>
    <row r="10" spans="1:11" ht="15" thickBot="1">
      <c r="A10" s="61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1"/>
      <c r="J10" s="67"/>
      <c r="K10" s="50"/>
    </row>
    <row r="11" spans="1:11">
      <c r="A11" s="60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2">
        <v>46171</v>
      </c>
      <c r="J11" s="62"/>
      <c r="K11" s="51"/>
    </row>
    <row r="12" spans="1:11" ht="15" thickBot="1">
      <c r="A12" s="61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1"/>
      <c r="J12" s="67"/>
      <c r="K12" s="50"/>
    </row>
    <row r="13" spans="1:11">
      <c r="A13" s="60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2" t="s">
        <v>16</v>
      </c>
      <c r="J13" s="62"/>
      <c r="K13" s="51"/>
    </row>
    <row r="14" spans="1:11" ht="15" thickBot="1">
      <c r="A14" s="61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1"/>
      <c r="J14" s="67"/>
      <c r="K14" s="50"/>
    </row>
    <row r="15" spans="1:11">
      <c r="A15" s="60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2">
        <v>46199</v>
      </c>
      <c r="J15" s="62"/>
      <c r="K15" s="51"/>
    </row>
    <row r="16" spans="1:11" ht="15" thickBot="1">
      <c r="A16" s="61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1"/>
      <c r="J16" s="67"/>
      <c r="K16" s="50"/>
    </row>
    <row r="17" spans="1:11">
      <c r="A17" s="64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3">
        <v>46305</v>
      </c>
      <c r="J17" s="63"/>
      <c r="K17" s="52"/>
    </row>
    <row r="18" spans="1:11" ht="15" thickBot="1">
      <c r="A18" s="61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1"/>
      <c r="J18" s="67"/>
      <c r="K18" s="50"/>
    </row>
    <row r="19" spans="1:11">
      <c r="A19" s="64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3">
        <v>46336</v>
      </c>
      <c r="J19" s="63"/>
      <c r="K19" s="52"/>
    </row>
    <row r="20" spans="1:11" ht="15" thickBot="1">
      <c r="A20" s="61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1"/>
      <c r="J20" s="67"/>
      <c r="K20" s="50"/>
    </row>
    <row r="21" spans="1:11">
      <c r="A21" s="60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2">
        <v>46336</v>
      </c>
      <c r="J21" s="62"/>
      <c r="K21" s="53"/>
    </row>
    <row r="22" spans="1:11" ht="15" thickBot="1">
      <c r="A22" s="61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1"/>
      <c r="J22" s="67"/>
      <c r="K22" s="54"/>
    </row>
    <row r="23" spans="1:11">
      <c r="A23" s="60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62">
        <v>46218</v>
      </c>
      <c r="J23" s="62"/>
      <c r="K23" s="53"/>
    </row>
    <row r="24" spans="1:11" ht="15" thickBot="1">
      <c r="A24" s="61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1"/>
      <c r="J24" s="67"/>
      <c r="K24" s="54"/>
    </row>
    <row r="25" spans="1:11">
      <c r="A25" s="60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2">
        <v>46188</v>
      </c>
      <c r="J25" s="62"/>
      <c r="K25" s="53"/>
    </row>
    <row r="26" spans="1:11" ht="15" thickBot="1">
      <c r="A26" s="61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1"/>
      <c r="J26" s="67"/>
      <c r="K26" s="54"/>
    </row>
    <row r="27" spans="1:11">
      <c r="A27" s="60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2">
        <v>46321</v>
      </c>
      <c r="J27" s="62"/>
      <c r="K27" s="53"/>
    </row>
    <row r="28" spans="1:11" ht="15" thickBot="1">
      <c r="A28" s="61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1"/>
      <c r="J28" s="67"/>
      <c r="K28" s="54"/>
    </row>
    <row r="29" spans="1:11">
      <c r="A29" s="60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2">
        <v>46139</v>
      </c>
      <c r="J29" s="62"/>
      <c r="K29" s="53"/>
    </row>
    <row r="30" spans="1:11" ht="15" thickBot="1">
      <c r="A30" s="61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1"/>
      <c r="J30" s="67"/>
      <c r="K30" s="54"/>
    </row>
    <row r="31" spans="1:11">
      <c r="A31" s="60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2">
        <v>46133</v>
      </c>
      <c r="J31" s="62"/>
      <c r="K31" s="53"/>
    </row>
    <row r="32" spans="1:11" ht="15" thickBot="1">
      <c r="A32" s="61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1"/>
      <c r="J32" s="67"/>
      <c r="K32" s="54"/>
    </row>
    <row r="33" spans="1:11">
      <c r="A33" s="60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2">
        <v>46295</v>
      </c>
      <c r="J33" s="62"/>
      <c r="K33" s="53"/>
    </row>
    <row r="34" spans="1:11" ht="15" thickBot="1">
      <c r="A34" s="61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1"/>
      <c r="J34" s="67"/>
      <c r="K34" s="54"/>
    </row>
    <row r="35" spans="1:11">
      <c r="A35" s="60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2">
        <v>45737</v>
      </c>
      <c r="J35" s="62"/>
      <c r="K35" s="53"/>
    </row>
    <row r="36" spans="1:11" ht="15" thickBot="1">
      <c r="A36" s="61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1"/>
      <c r="J36" s="67"/>
      <c r="K36" s="54"/>
    </row>
    <row r="37" spans="1:11">
      <c r="A37" s="60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2">
        <v>45737</v>
      </c>
      <c r="J37" s="62"/>
      <c r="K37" s="53"/>
    </row>
    <row r="38" spans="1:11" ht="15" thickBot="1">
      <c r="A38" s="61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1"/>
      <c r="J38" s="67"/>
      <c r="K38" s="54"/>
    </row>
  </sheetData>
  <mergeCells count="53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7" zoomScaleNormal="100" workbookViewId="0">
      <pane xSplit="1" topLeftCell="B1" activePane="topRight" state="frozen"/>
      <selection pane="topRight" activeCell="F8" sqref="F8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9" t="s">
        <v>34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</row>
    <row r="4" spans="1:22" ht="41.4">
      <c r="A4" s="1" t="s">
        <v>2</v>
      </c>
      <c r="B4" s="1" t="s">
        <v>7</v>
      </c>
      <c r="C4" s="1" t="s">
        <v>69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72</v>
      </c>
      <c r="V4" s="1" t="s">
        <v>77</v>
      </c>
    </row>
    <row r="5" spans="1:22" s="10" customFormat="1" ht="18.600000000000001">
      <c r="A5" s="15" t="s">
        <v>10</v>
      </c>
      <c r="B5" s="15" t="s">
        <v>22</v>
      </c>
      <c r="C5" s="15" t="s">
        <v>70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83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70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102</v>
      </c>
      <c r="U6" s="27"/>
      <c r="V6" s="20"/>
    </row>
    <row r="7" spans="1:22" s="10" customFormat="1" ht="18.600000000000001">
      <c r="A7" s="15" t="s">
        <v>17</v>
      </c>
      <c r="B7" s="15" t="s">
        <v>22</v>
      </c>
      <c r="C7" s="15" t="s">
        <v>70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84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70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85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70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70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85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70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86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70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70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87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70</v>
      </c>
      <c r="D14" s="22">
        <v>0.6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73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70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70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88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70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70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70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95</v>
      </c>
      <c r="U19" s="33" t="s">
        <v>89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70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70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>
      <c r="A22" s="10" t="s">
        <v>90</v>
      </c>
      <c r="B22" s="24" t="s">
        <v>12</v>
      </c>
      <c r="C22" s="15" t="s">
        <v>92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91</v>
      </c>
      <c r="V22" s="20"/>
    </row>
    <row r="23" spans="1:22" s="10" customFormat="1" ht="18.600000000000001">
      <c r="A23" s="10" t="s">
        <v>94</v>
      </c>
      <c r="B23" s="15" t="s">
        <v>22</v>
      </c>
      <c r="C23" s="15" t="s">
        <v>70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103</v>
      </c>
      <c r="B24" s="15" t="s">
        <v>22</v>
      </c>
      <c r="C24" s="15" t="s">
        <v>70</v>
      </c>
      <c r="D24" s="16">
        <v>0</v>
      </c>
      <c r="E24" s="17">
        <v>203880</v>
      </c>
      <c r="F24" s="17">
        <v>0</v>
      </c>
      <c r="G24" s="17"/>
      <c r="H24" s="17">
        <f>E24*0.4</f>
        <v>81552</v>
      </c>
      <c r="I24" s="23"/>
      <c r="K24" s="15"/>
      <c r="L24" s="17">
        <f>36480/2</f>
        <v>18240</v>
      </c>
      <c r="N24" s="56">
        <f>82500-P24</f>
        <v>17500</v>
      </c>
      <c r="O24" s="10" t="s">
        <v>104</v>
      </c>
      <c r="P24" s="11">
        <v>65000</v>
      </c>
      <c r="Q24" s="20"/>
      <c r="R24" s="12"/>
      <c r="T24" s="28" t="s">
        <v>105</v>
      </c>
      <c r="U24" s="33"/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tabSelected="1" workbookViewId="0">
      <pane ySplit="4" topLeftCell="A17" activePane="bottomLeft" state="frozen"/>
      <selection pane="bottomLeft" activeCell="F12" sqref="F12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24.33203125" bestFit="1" customWidth="1"/>
  </cols>
  <sheetData>
    <row r="1" spans="1:5" ht="17.399999999999999">
      <c r="A1" s="57" t="s">
        <v>57</v>
      </c>
      <c r="B1" s="57"/>
      <c r="C1" s="58"/>
      <c r="D1" s="58"/>
    </row>
    <row r="2" spans="1:5">
      <c r="A2" s="59" t="s">
        <v>58</v>
      </c>
      <c r="B2" s="59"/>
      <c r="C2" s="58"/>
      <c r="D2" s="58"/>
    </row>
    <row r="4" spans="1:5">
      <c r="A4" s="1" t="s">
        <v>71</v>
      </c>
      <c r="B4" s="1" t="s">
        <v>2</v>
      </c>
      <c r="C4" s="1" t="s">
        <v>59</v>
      </c>
      <c r="D4" s="1" t="s">
        <v>60</v>
      </c>
      <c r="E4" s="55" t="s">
        <v>93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106</v>
      </c>
      <c r="C7" s="5" t="s">
        <v>61</v>
      </c>
      <c r="D7" s="8">
        <v>4</v>
      </c>
      <c r="E7" t="s">
        <v>107</v>
      </c>
    </row>
    <row r="8" spans="1:5">
      <c r="A8" s="6">
        <v>46189</v>
      </c>
      <c r="B8" s="5" t="s">
        <v>108</v>
      </c>
      <c r="C8" s="5" t="s">
        <v>61</v>
      </c>
      <c r="D8" s="8">
        <v>4</v>
      </c>
      <c r="E8" t="s">
        <v>116</v>
      </c>
    </row>
    <row r="9" spans="1:5">
      <c r="A9" s="6">
        <v>46183</v>
      </c>
      <c r="B9" s="5" t="s">
        <v>109</v>
      </c>
      <c r="C9" s="5" t="s">
        <v>62</v>
      </c>
      <c r="D9" s="8">
        <v>3</v>
      </c>
      <c r="E9" t="s">
        <v>117</v>
      </c>
    </row>
    <row r="10" spans="1:5">
      <c r="A10" s="6">
        <v>46185</v>
      </c>
      <c r="B10" s="5" t="s">
        <v>109</v>
      </c>
      <c r="C10" s="5" t="s">
        <v>63</v>
      </c>
      <c r="D10" s="8">
        <v>2.5</v>
      </c>
      <c r="E10" t="s">
        <v>118</v>
      </c>
    </row>
    <row r="11" spans="1:5">
      <c r="A11" s="6">
        <v>46190</v>
      </c>
      <c r="B11" s="5" t="s">
        <v>106</v>
      </c>
      <c r="C11" s="5" t="s">
        <v>61</v>
      </c>
      <c r="D11" s="8">
        <v>3</v>
      </c>
      <c r="E11" t="s">
        <v>119</v>
      </c>
    </row>
    <row r="12" spans="1:5">
      <c r="A12" s="6">
        <v>46190</v>
      </c>
      <c r="B12" s="5" t="s">
        <v>110</v>
      </c>
      <c r="C12" s="5" t="s">
        <v>63</v>
      </c>
      <c r="D12" s="8">
        <v>3</v>
      </c>
      <c r="E12" t="s">
        <v>118</v>
      </c>
    </row>
    <row r="13" spans="1:5">
      <c r="A13" s="6">
        <v>46192</v>
      </c>
      <c r="B13" s="5" t="s">
        <v>111</v>
      </c>
      <c r="C13" s="5" t="s">
        <v>61</v>
      </c>
      <c r="D13" s="8">
        <v>3</v>
      </c>
      <c r="E13" t="s">
        <v>120</v>
      </c>
    </row>
    <row r="14" spans="1:5">
      <c r="A14" s="6">
        <v>46197</v>
      </c>
      <c r="B14" s="5" t="s">
        <v>112</v>
      </c>
      <c r="C14" s="5" t="s">
        <v>63</v>
      </c>
      <c r="D14" s="8">
        <v>3</v>
      </c>
      <c r="E14" t="s">
        <v>121</v>
      </c>
    </row>
    <row r="15" spans="1:5">
      <c r="A15" s="3">
        <v>46198</v>
      </c>
      <c r="B15" s="5" t="s">
        <v>113</v>
      </c>
      <c r="C15" s="5" t="s">
        <v>61</v>
      </c>
      <c r="D15" s="4">
        <v>6</v>
      </c>
      <c r="E15" t="s">
        <v>122</v>
      </c>
    </row>
    <row r="16" spans="1:5">
      <c r="A16" s="3">
        <v>46202</v>
      </c>
      <c r="B16" s="5" t="s">
        <v>111</v>
      </c>
      <c r="C16" s="5" t="s">
        <v>61</v>
      </c>
      <c r="D16" s="4">
        <v>6</v>
      </c>
      <c r="E16" t="s">
        <v>123</v>
      </c>
    </row>
    <row r="17" spans="1:5">
      <c r="A17" s="3">
        <v>46205</v>
      </c>
      <c r="B17" s="5" t="s">
        <v>114</v>
      </c>
      <c r="C17" s="5" t="s">
        <v>61</v>
      </c>
      <c r="D17" s="4">
        <v>4</v>
      </c>
      <c r="E17" t="s">
        <v>124</v>
      </c>
    </row>
    <row r="18" spans="1:5">
      <c r="A18" s="3">
        <v>46206</v>
      </c>
      <c r="B18" s="5" t="s">
        <v>115</v>
      </c>
      <c r="C18" s="5" t="s">
        <v>61</v>
      </c>
      <c r="D18" s="4">
        <v>4</v>
      </c>
      <c r="E18" t="s">
        <v>124</v>
      </c>
    </row>
    <row r="19" spans="1:5">
      <c r="A19" s="3">
        <v>46216</v>
      </c>
      <c r="B19" s="5" t="s">
        <v>106</v>
      </c>
      <c r="C19" s="5" t="s">
        <v>61</v>
      </c>
      <c r="D19" s="4">
        <v>6</v>
      </c>
      <c r="E19" t="s">
        <v>126</v>
      </c>
    </row>
    <row r="20" spans="1:5">
      <c r="A20" s="3">
        <v>46218</v>
      </c>
      <c r="B20" s="5" t="s">
        <v>125</v>
      </c>
      <c r="C20" s="5" t="s">
        <v>61</v>
      </c>
      <c r="D20" s="4">
        <v>6</v>
      </c>
      <c r="E20" t="s">
        <v>127</v>
      </c>
    </row>
    <row r="21" spans="1:5">
      <c r="A21" s="3">
        <v>46216</v>
      </c>
      <c r="B21" s="5" t="s">
        <v>114</v>
      </c>
      <c r="C21" s="2" t="s">
        <v>63</v>
      </c>
      <c r="D21" s="4">
        <v>3</v>
      </c>
      <c r="E21" t="s">
        <v>128</v>
      </c>
    </row>
    <row r="22" spans="1:5">
      <c r="A22" s="3">
        <v>46218</v>
      </c>
      <c r="B22" s="3" t="s">
        <v>111</v>
      </c>
      <c r="C22" s="5" t="s">
        <v>61</v>
      </c>
      <c r="D22" s="4">
        <v>6</v>
      </c>
      <c r="E22" t="s">
        <v>126</v>
      </c>
    </row>
    <row r="23" spans="1:5">
      <c r="A23" s="3">
        <v>46218</v>
      </c>
      <c r="B23" s="3" t="s">
        <v>103</v>
      </c>
      <c r="C23" s="2" t="s">
        <v>129</v>
      </c>
      <c r="D23" s="4">
        <v>3</v>
      </c>
      <c r="E23" t="s">
        <v>121</v>
      </c>
    </row>
    <row r="24" spans="1:5">
      <c r="A24" s="3">
        <v>46218</v>
      </c>
      <c r="B24" s="3" t="s">
        <v>103</v>
      </c>
      <c r="C24" s="2" t="s">
        <v>63</v>
      </c>
      <c r="D24" s="4">
        <v>3</v>
      </c>
      <c r="E24" t="s">
        <v>121</v>
      </c>
    </row>
    <row r="25" spans="1:5">
      <c r="A25" s="3"/>
      <c r="B25" s="3"/>
      <c r="C25" s="2"/>
      <c r="D25" s="4"/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78</v>
      </c>
      <c r="B1" s="57"/>
      <c r="C1" s="57"/>
      <c r="D1" s="57"/>
      <c r="E1" s="57"/>
    </row>
    <row r="2" spans="1:5">
      <c r="A2" s="59" t="s">
        <v>79</v>
      </c>
      <c r="B2" s="59"/>
      <c r="C2" s="59"/>
      <c r="D2" s="59"/>
      <c r="E2" s="59"/>
    </row>
    <row r="4" spans="1:5">
      <c r="A4" s="1" t="s">
        <v>80</v>
      </c>
      <c r="B4" s="1" t="s">
        <v>81</v>
      </c>
      <c r="C4" s="1" t="s">
        <v>4</v>
      </c>
      <c r="D4" s="1" t="s">
        <v>5</v>
      </c>
      <c r="E4" t="s">
        <v>7</v>
      </c>
    </row>
    <row r="5" spans="1:5">
      <c r="A5" s="3" t="s">
        <v>96</v>
      </c>
      <c r="B5" s="3" t="s">
        <v>97</v>
      </c>
      <c r="C5" s="6">
        <v>46204</v>
      </c>
      <c r="D5" s="6">
        <v>46224</v>
      </c>
      <c r="E5" t="s">
        <v>82</v>
      </c>
    </row>
    <row r="6" spans="1:5">
      <c r="A6" s="3" t="s">
        <v>98</v>
      </c>
      <c r="B6" s="3" t="s">
        <v>99</v>
      </c>
      <c r="C6" s="6">
        <v>46204</v>
      </c>
      <c r="D6" s="6">
        <v>46224</v>
      </c>
      <c r="E6" t="s">
        <v>82</v>
      </c>
    </row>
    <row r="7" spans="1:5">
      <c r="A7" s="3" t="s">
        <v>100</v>
      </c>
      <c r="B7" s="2" t="s">
        <v>101</v>
      </c>
      <c r="C7" s="6">
        <v>46204</v>
      </c>
      <c r="D7" s="6">
        <v>46224</v>
      </c>
      <c r="E7" t="s">
        <v>82</v>
      </c>
    </row>
    <row r="8" spans="1:5">
      <c r="A8" s="6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2026-07-13T09:53:10Z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