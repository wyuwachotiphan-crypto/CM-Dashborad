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4D5E45EE-EAC0-4096-82D3-C82E547233F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  <c r="E20" i="2"/>
  <c r="G20" i="2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<sst xmlns="http://schemas.openxmlformats.org/spreadsheetml/2006/main" count="194" uniqueCount="66">
  <si>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</si>
  <si>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</si>
  <si>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</si>
  <si>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</si>
  <si>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</si>
  <si>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</si>
  <si>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</si>
  <si>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</si>
  <si>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</si>
  <si>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</si>
  <si>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</si>
  <si>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</si>
  <si>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</si>
  <si>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</si>
  <si>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</si>
  <si>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</si>
  <si>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</si>
  <si>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</si>
  <si>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</si>
  <si>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</si>
  <si>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</si>
  <si>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</si>
  <si>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</si>
  <si>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</si>
  <si>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</si>
  <si>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</si>
  <si>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</si>
  <si>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</si>
  <si>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</si>
  <si>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</si>
  <si>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</si>
  <si>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</si>
  <si>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</si>
  <si>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</si>
  <si>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</si>
  <si>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</si>
  <si>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</si>
  <si>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</si>
  <si>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</si>
  <si>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</si>
  <si>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</si>
  <si>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</si>
  <si>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</si>
  <si>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</si>
  <si>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</si>
  <si>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</si>
  <si>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</si>
  <si>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</si>
  <si>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</si>
  <si>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</si>
  <si>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</si>
  <si>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</si>
  <si>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</si>
  <si>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</si>
  <si>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</si>
  <si>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</si>
  <si>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</si>
  <si>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โครงการล่าช้า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</si>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</sst>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" fillId="0" borderId="0" xfId="0" applyFont="1"/>
    <xf numFmtId="0" fontId="0" fillId="0" borderId="0" xfId="0"/>
    <xf numFmtId="0" fontId="2" fillId="0" borderId="0" xfId="0" applyFont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26" activePane="bottomLeft" state="frozen"/>
      <selection pane="bottomLeft" activeCell="H17" sqref="H17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6" t="s">
        <v>0</v>
      </c>
      <c r="B1" s="27"/>
      <c r="C1" s="27"/>
      <c r="D1" s="27"/>
      <c r="E1" s="27"/>
      <c r="F1" s="27"/>
      <c r="G1" s="27"/>
      <c r="H1" s="27"/>
    </row>
    <row r="2" spans="1:8" x14ac:dyDescent="0.3">
      <c r="A2" s="28" t="s">
        <v>1</v>
      </c>
      <c r="B2" s="27"/>
      <c r="C2" s="27"/>
      <c r="D2" s="27"/>
      <c r="E2" s="27"/>
      <c r="F2" s="27"/>
      <c r="G2" s="27"/>
      <c r="H2" s="27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1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29">
        <v>46213</v>
      </c>
      <c r="H5" s="5"/>
    </row>
    <row r="6" spans="1:8" x14ac:dyDescent="0.3">
      <c r="A6" s="30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0"/>
      <c r="H6" s="5"/>
    </row>
    <row r="7" spans="1:8" x14ac:dyDescent="0.3">
      <c r="A7" s="31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29" t="s">
        <v>16</v>
      </c>
      <c r="H7" s="5"/>
    </row>
    <row r="8" spans="1:8" x14ac:dyDescent="0.3">
      <c r="A8" s="30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0"/>
      <c r="H8" s="5"/>
    </row>
    <row r="9" spans="1:8" x14ac:dyDescent="0.3">
      <c r="A9" s="31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29">
        <v>46204</v>
      </c>
      <c r="H9" s="5"/>
    </row>
    <row r="10" spans="1:8" x14ac:dyDescent="0.3">
      <c r="A10" s="30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0"/>
      <c r="H10" s="5"/>
    </row>
    <row r="11" spans="1:8" x14ac:dyDescent="0.3">
      <c r="A11" s="31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29">
        <v>46171</v>
      </c>
      <c r="H11" s="5"/>
    </row>
    <row r="12" spans="1:8" x14ac:dyDescent="0.3">
      <c r="A12" s="30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0"/>
      <c r="H12" s="5"/>
    </row>
    <row r="13" spans="1:8" x14ac:dyDescent="0.3">
      <c r="A13" s="31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29" t="s">
        <v>16</v>
      </c>
      <c r="H13" s="5"/>
    </row>
    <row r="14" spans="1:8" x14ac:dyDescent="0.3">
      <c r="A14" s="30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0"/>
      <c r="H14" s="5"/>
    </row>
    <row r="15" spans="1:8" x14ac:dyDescent="0.3">
      <c r="A15" s="31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29">
        <v>46199</v>
      </c>
      <c r="H15" s="5"/>
    </row>
    <row r="16" spans="1:8" x14ac:dyDescent="0.3">
      <c r="A16" s="30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0"/>
      <c r="H16" s="5"/>
    </row>
    <row r="17" spans="1:8" x14ac:dyDescent="0.3">
      <c r="A17" s="31" t="s">
        <v>21</v>
      </c>
      <c r="B17" s="5" t="s">
        <v>11</v>
      </c>
      <c r="C17" s="6">
        <v>46188</v>
      </c>
      <c r="D17" s="6">
        <v>46198</v>
      </c>
      <c r="E17" s="7">
        <v>1</v>
      </c>
      <c r="F17" s="5" t="s">
        <v>12</v>
      </c>
      <c r="G17" s="29">
        <v>46305</v>
      </c>
      <c r="H17" s="5"/>
    </row>
    <row r="18" spans="1:8" x14ac:dyDescent="0.3">
      <c r="A18" s="30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0"/>
      <c r="H18" s="5"/>
    </row>
    <row r="19" spans="1:8" x14ac:dyDescent="0.3">
      <c r="A19" s="31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29">
        <v>46336</v>
      </c>
      <c r="H19" s="5"/>
    </row>
    <row r="20" spans="1:8" x14ac:dyDescent="0.3">
      <c r="A20" s="30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0"/>
      <c r="H20" s="5"/>
    </row>
    <row r="21" spans="1:8" x14ac:dyDescent="0.3">
      <c r="A21" s="31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29">
        <v>46336</v>
      </c>
    </row>
    <row r="22" spans="1:8" x14ac:dyDescent="0.3">
      <c r="A22" s="30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0"/>
    </row>
    <row r="23" spans="1:8" x14ac:dyDescent="0.3">
      <c r="A23" s="31" t="s">
        <v>25</v>
      </c>
      <c r="B23" s="5" t="s">
        <v>11</v>
      </c>
      <c r="C23" s="6">
        <v>46190</v>
      </c>
      <c r="D23" s="6">
        <v>46206</v>
      </c>
      <c r="E23" s="7">
        <v>0.5</v>
      </c>
      <c r="F23" s="5" t="s">
        <v>22</v>
      </c>
      <c r="G23" s="29">
        <v>46218</v>
      </c>
    </row>
    <row r="24" spans="1:8" x14ac:dyDescent="0.3">
      <c r="A24" s="30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0"/>
    </row>
    <row r="25" spans="1:8" x14ac:dyDescent="0.3">
      <c r="A25" s="31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29">
        <v>46188</v>
      </c>
    </row>
    <row r="26" spans="1:8" x14ac:dyDescent="0.3">
      <c r="A26" s="30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0"/>
    </row>
    <row r="27" spans="1:8" x14ac:dyDescent="0.3">
      <c r="A27" s="31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29">
        <v>46321</v>
      </c>
    </row>
    <row r="28" spans="1:8" x14ac:dyDescent="0.3">
      <c r="A28" s="30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0"/>
    </row>
    <row r="29" spans="1:8" x14ac:dyDescent="0.3">
      <c r="A29" s="31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29">
        <v>46139</v>
      </c>
    </row>
    <row r="30" spans="1:8" x14ac:dyDescent="0.3">
      <c r="A30" s="30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0"/>
    </row>
    <row r="31" spans="1:8" x14ac:dyDescent="0.3">
      <c r="A31" s="31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29">
        <v>46133</v>
      </c>
    </row>
    <row r="32" spans="1:8" x14ac:dyDescent="0.3">
      <c r="A32" s="30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0"/>
    </row>
    <row r="33" spans="1:7" x14ac:dyDescent="0.3">
      <c r="A33" s="31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29">
        <v>46295</v>
      </c>
    </row>
    <row r="34" spans="1:7" x14ac:dyDescent="0.3">
      <c r="A34" s="30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0"/>
    </row>
    <row r="35" spans="1:7" x14ac:dyDescent="0.3">
      <c r="A35" s="31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29">
        <v>45737</v>
      </c>
    </row>
    <row r="36" spans="1:7" x14ac:dyDescent="0.3">
      <c r="A36" s="30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0"/>
    </row>
    <row r="37" spans="1:7" x14ac:dyDescent="0.3">
      <c r="A37" s="31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29">
        <v>45737</v>
      </c>
    </row>
    <row r="38" spans="1:7" x14ac:dyDescent="0.3">
      <c r="A38" s="30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0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topLeftCell="A4" workbookViewId="0">
      <pane xSplit="1" topLeftCell="K1" activePane="topRight" state="frozen"/>
      <selection pane="topRight" activeCell="N20" sqref="N20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6" t="s">
        <v>33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1:19" x14ac:dyDescent="0.3">
      <c r="A2" s="28" t="s">
        <v>34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22</v>
      </c>
      <c r="C10" s="10">
        <v>0.9</v>
      </c>
      <c r="D10" s="11">
        <v>338450.2</v>
      </c>
      <c r="E10" s="11">
        <f>O10*0.8</f>
        <v>110400</v>
      </c>
      <c r="F10" s="11">
        <v>370</v>
      </c>
      <c r="G10" s="11">
        <f>D10*0.4</f>
        <v>135380.08000000002</v>
      </c>
      <c r="H10" s="12">
        <v>10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9" t="s">
        <v>50</v>
      </c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9"/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9" t="s">
        <v>51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9" t="s">
        <v>51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>
        <v>341236.34</v>
      </c>
      <c r="E20" s="22">
        <f>O20*0.3</f>
        <v>71744.399999999994</v>
      </c>
      <c r="F20" s="17">
        <v>255</v>
      </c>
      <c r="G20" s="23">
        <f>D20*0.9</f>
        <v>307112.70600000001</v>
      </c>
      <c r="H20" s="19">
        <v>3</v>
      </c>
      <c r="K20" s="19">
        <v>0</v>
      </c>
      <c r="M20" s="19">
        <v>0</v>
      </c>
      <c r="O20" s="25">
        <v>239148</v>
      </c>
      <c r="P20" s="13">
        <v>45717</v>
      </c>
      <c r="Q20" s="13">
        <v>45737</v>
      </c>
      <c r="S20" s="9" t="s">
        <v>57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>
        <v>666700</v>
      </c>
      <c r="E21" s="22">
        <f>O21*0.65</f>
        <v>145747.55000000002</v>
      </c>
      <c r="G21" s="19">
        <f>D21*0.75</f>
        <v>500025</v>
      </c>
      <c r="H21" s="19">
        <v>3</v>
      </c>
      <c r="K21" s="19">
        <v>0</v>
      </c>
      <c r="M21" s="19">
        <v>0</v>
      </c>
      <c r="O21" s="25">
        <v>224227</v>
      </c>
      <c r="P21" s="13">
        <v>45717</v>
      </c>
      <c r="Q21" s="13">
        <v>45737</v>
      </c>
      <c r="S21" s="9" t="s">
        <v>57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K15" sqref="K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6" t="s">
        <v>58</v>
      </c>
      <c r="B1" s="27"/>
      <c r="C1" s="27"/>
    </row>
    <row r="2" spans="1:3" x14ac:dyDescent="0.3">
      <c r="A2" s="28" t="s">
        <v>59</v>
      </c>
      <c r="B2" s="27"/>
      <c r="C2" s="27"/>
    </row>
    <row r="4" spans="1:3" x14ac:dyDescent="0.3">
      <c r="A4" s="1" t="s">
        <v>60</v>
      </c>
      <c r="B4" s="1" t="s">
        <v>61</v>
      </c>
      <c r="C4" s="1" t="s">
        <v>62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63</v>
      </c>
      <c r="C7" s="8">
        <v>4</v>
      </c>
    </row>
    <row r="8" spans="1:3" x14ac:dyDescent="0.3">
      <c r="A8" s="6">
        <v>46189</v>
      </c>
      <c r="B8" s="5" t="s">
        <v>63</v>
      </c>
      <c r="C8" s="8">
        <v>4</v>
      </c>
    </row>
    <row r="9" spans="1:3" x14ac:dyDescent="0.3">
      <c r="A9" s="6">
        <v>46183</v>
      </c>
      <c r="B9" s="5" t="s">
        <v>64</v>
      </c>
      <c r="C9" s="8">
        <v>3</v>
      </c>
    </row>
    <row r="10" spans="1:3" x14ac:dyDescent="0.3">
      <c r="A10" s="6">
        <v>46185</v>
      </c>
      <c r="B10" s="5" t="s">
        <v>65</v>
      </c>
      <c r="C10" s="8">
        <v>2.5</v>
      </c>
    </row>
    <row r="11" spans="1:3" x14ac:dyDescent="0.3">
      <c r="A11" s="6">
        <v>46190</v>
      </c>
      <c r="B11" s="5" t="s">
        <v>63</v>
      </c>
      <c r="C11" s="8">
        <v>3</v>
      </c>
    </row>
    <row r="12" spans="1:3" x14ac:dyDescent="0.3">
      <c r="A12" s="6">
        <v>46190</v>
      </c>
      <c r="B12" s="5" t="s">
        <v>65</v>
      </c>
      <c r="C12" s="8">
        <v>3</v>
      </c>
    </row>
    <row r="13" spans="1:3" x14ac:dyDescent="0.3">
      <c r="A13" s="6">
        <v>46192</v>
      </c>
      <c r="B13" s="5" t="s">
        <v>63</v>
      </c>
      <c r="C13" s="8">
        <v>3</v>
      </c>
    </row>
    <row r="14" spans="1:3" x14ac:dyDescent="0.3">
      <c r="A14" s="6">
        <v>46197</v>
      </c>
      <c r="B14" s="5" t="s">
        <v>65</v>
      </c>
      <c r="C14" s="8">
        <v>3</v>
      </c>
    </row>
    <row r="15" spans="1:3" x14ac:dyDescent="0.3">
      <c r="A15" s="3">
        <v>46198</v>
      </c>
      <c r="B15" s="5" t="s">
        <v>63</v>
      </c>
      <c r="C15" s="4">
        <v>6</v>
      </c>
    </row>
    <row r="16" spans="1:3" x14ac:dyDescent="0.3">
      <c r="A16" s="3">
        <v>46202</v>
      </c>
      <c r="B16" s="5" t="s">
        <v>63</v>
      </c>
      <c r="C16" s="4">
        <v>6</v>
      </c>
    </row>
    <row r="17" spans="1:3" x14ac:dyDescent="0.3">
      <c r="A17" s="3">
        <v>46205</v>
      </c>
      <c r="B17" s="5" t="s">
        <v>63</v>
      </c>
      <c r="C17" s="4">
        <v>4</v>
      </c>
    </row>
    <row r="18" spans="1:3" x14ac:dyDescent="0.3">
      <c r="A18" s="3">
        <v>46206</v>
      </c>
      <c r="B18" s="5" t="s">
        <v>63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2026-07-01T08:04:30Z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