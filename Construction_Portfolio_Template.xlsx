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VICTUS\Desktop\Dashboard\"/>
    </mc:Choice>
  </mc:AlternateContent>
  <xr:revisionPtr revIDLastSave="0" documentId="13_ncr:1_{36ABA983-CF47-43C6-B364-35D559028165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2" l="1"/>
  <c r="F5" i="2"/>
  <c r="F19" i="2"/>
  <c r="H10" i="2"/>
  <c r="H19" i="2"/>
  <c r="H18" i="2"/>
  <c r="H5" i="2"/>
  <c r="Q19" i="2"/>
  <c r="F11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H14" i="2"/>
  <c r="F14" i="2"/>
  <c r="Q13" i="2"/>
  <c r="H13" i="2"/>
  <c r="F13" i="2"/>
  <c r="Q12" i="2"/>
  <c r="H12" i="2"/>
  <c r="F12" i="2"/>
  <c r="Q11" i="2"/>
  <c r="H11" i="2"/>
  <c r="Q10" i="2"/>
  <c r="F10" i="2"/>
  <c r="H9" i="2"/>
  <c r="F9" i="2"/>
  <c r="Q8" i="2"/>
  <c r="H8" i="2"/>
  <c r="F8" i="2"/>
  <c r="Q7" i="2"/>
  <c r="H7" i="2"/>
  <c r="F7" i="2"/>
  <c r="H6" i="2"/>
  <c r="F6" i="2"/>
  <c r="Q5" i="2"/>
</calcChain>
</file>

<file path=xl/sharedStrings.xml><?xml version="1.0" encoding="utf-8"?>
<sst xmlns="http://schemas.openxmlformats.org/spreadsheetml/2006/main" count="255" uniqueCount="102">
  <si>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</si>
  <si>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</si>
  <si>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</si>
  <si>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</si>
  <si>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</si>
  <si>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</si>
  <si>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</si>
  <si>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</si>
  <si>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</si>
  <si>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</si>
  <si>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</si>
  <si>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</si>
  <si>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</si>
  <si>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</si>
  <si>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</si>
  <si>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</si>
  <si>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</si>
  <si>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</si>
  <si>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</si>
  <si>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</si>
  <si>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</si>
  <si>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</si>
  <si>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</si>
  <si>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</si>
  <si>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</si>
  <si>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</si>
  <si>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</si>
  <si>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</si>
  <si>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</si>
  <si>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</si>
  <si>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</si>
  <si>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</si>
  <si>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</si>
  <si>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</si>
  <si>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</si>
  <si>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</si>
  <si>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</si>
  <si>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</si>
  <si>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</si>
  <si>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</si>
  <si>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</si>
  <si>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</si>
  <si>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</si>
  <si>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</si>
  <si>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</si>
  <si>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</si>
  <si>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</si>
  <si>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</si>
  <si>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</si>
  <si>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</si>
  <si>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</si>
  <si>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</si>
  <si>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</si>
  <si>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</si>
  <si>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</si>
  <si>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</si>
  <si>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</si>
  <si>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</si>
  <si>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</si>
  <si>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</si>
  <si>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</si>
  <si>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</si>
  <si>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</si>
  <si>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</si>
  <si>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รอลูกค้าคอนเฟิมวันส่งงาน Frist fix</t>
  </si>
  <si>
    <t>ส่งงาน Frist fix 07/13/2026</t>
  </si>
  <si>
    <t>1 กันยา เริ่มเข้าไซต์</t>
  </si>
  <si>
    <t>โครงการล่าช้า เดือน 9 ส่งมอบงาน</t>
  </si>
  <si>
    <t>โครงการล่าช้า/ติดกริลวันที่ 17/07/2026 กำหนดส่งงานได้ กันยา-ตุลา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</si>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</sst>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</cellStyleXfs>
  <cellXfs count="6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" fillId="0" borderId="0" xfId="0" applyFont="1"/>
    <xf numFmtId="0" fontId="2" fillId="0" borderId="0" xfId="0" applyFont="1"/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164" fontId="5" fillId="3" borderId="6" xfId="0" applyNumberFormat="1" applyFont="1" applyFill="1" applyBorder="1" applyAlignment="1">
      <alignment horizontal="center" vertical="center"/>
    </xf>
    <xf numFmtId="0" fontId="0" fillId="0" borderId="0" xfId="0"/>
    <xf numFmtId="16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indent="1"/>
    </xf>
    <xf numFmtId="0" fontId="5" fillId="3" borderId="1" xfId="0" applyFont="1" applyFill="1" applyBorder="1" applyAlignment="1">
      <alignment horizontal="left" vertical="center" indent="1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0" fontId="13" fillId="6" borderId="0" xfId="0" applyFont="1" applyFill="1"/>
  </cellXfs>
  <cellStyles count="3"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https://corallife806.sharepoint.com/sites/CoralLife2/Document%20Sharing/BA%20-%20Solution%20Design/1_Non-Project/7_Engineer/IAQ%20Solution/0_ERV%20Management/2_Construction%20Management/Dashboard/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8"/>
  <sheetViews>
    <sheetView zoomScale="85" zoomScaleNormal="85" workbookViewId="0">
      <pane ySplit="4" topLeftCell="A5" activePane="bottomLeft" state="frozen"/>
      <selection pane="bottomLeft" activeCell="K26" sqref="K26"/>
    </sheetView>
  </sheetViews>
  <sheetFormatPr defaultRowHeight="14.4" x14ac:dyDescent="0.3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 x14ac:dyDescent="0.3">
      <c r="A1" s="55" t="s">
        <v>0</v>
      </c>
      <c r="B1" s="60"/>
      <c r="C1" s="60"/>
      <c r="D1" s="60"/>
      <c r="E1" s="60"/>
      <c r="F1" s="60"/>
      <c r="G1" s="60"/>
      <c r="H1" s="60"/>
      <c r="I1" s="60"/>
      <c r="J1" s="60"/>
      <c r="K1" s="60"/>
    </row>
    <row r="2" spans="1:11" x14ac:dyDescent="0.3">
      <c r="A2" s="56" t="s">
        <v>1</v>
      </c>
      <c r="B2" s="60"/>
      <c r="C2" s="60"/>
      <c r="D2" s="60"/>
      <c r="E2" s="60"/>
      <c r="F2" s="60"/>
      <c r="G2" s="60"/>
      <c r="H2" s="60"/>
      <c r="I2" s="60"/>
      <c r="J2" s="60"/>
      <c r="K2" s="60"/>
    </row>
    <row r="4" spans="1:11" ht="27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74</v>
      </c>
      <c r="F4" s="1" t="s">
        <v>75</v>
      </c>
      <c r="G4" s="1" t="s">
        <v>6</v>
      </c>
      <c r="H4" s="1" t="s">
        <v>7</v>
      </c>
      <c r="I4" s="1" t="s">
        <v>8</v>
      </c>
      <c r="J4" s="1" t="s">
        <v>76</v>
      </c>
      <c r="K4" s="1" t="s">
        <v>9</v>
      </c>
    </row>
    <row r="5" spans="1:11" x14ac:dyDescent="0.3">
      <c r="A5" s="63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4">
        <v>46213</v>
      </c>
      <c r="J5" s="64"/>
      <c r="K5" s="49"/>
    </row>
    <row r="6" spans="1:11" ht="15" thickBot="1" x14ac:dyDescent="0.35">
      <c r="A6" s="58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58"/>
      <c r="J6" s="65"/>
      <c r="K6" s="50"/>
    </row>
    <row r="7" spans="1:11" x14ac:dyDescent="0.3">
      <c r="A7" s="57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59" t="s">
        <v>16</v>
      </c>
      <c r="J7" s="59"/>
      <c r="K7" s="51"/>
    </row>
    <row r="8" spans="1:11" ht="15" thickBot="1" x14ac:dyDescent="0.35">
      <c r="A8" s="58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58"/>
      <c r="J8" s="65"/>
      <c r="K8" s="50"/>
    </row>
    <row r="9" spans="1:11" x14ac:dyDescent="0.3">
      <c r="A9" s="57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59">
        <v>46218</v>
      </c>
      <c r="J9" s="59"/>
      <c r="K9" s="51"/>
    </row>
    <row r="10" spans="1:11" ht="15" thickBot="1" x14ac:dyDescent="0.35">
      <c r="A10" s="58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58"/>
      <c r="J10" s="65"/>
      <c r="K10" s="50"/>
    </row>
    <row r="11" spans="1:11" x14ac:dyDescent="0.3">
      <c r="A11" s="57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59">
        <v>46171</v>
      </c>
      <c r="J11" s="59"/>
      <c r="K11" s="51"/>
    </row>
    <row r="12" spans="1:11" ht="15" thickBot="1" x14ac:dyDescent="0.35">
      <c r="A12" s="58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58"/>
      <c r="J12" s="65"/>
      <c r="K12" s="50"/>
    </row>
    <row r="13" spans="1:11" x14ac:dyDescent="0.3">
      <c r="A13" s="57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59" t="s">
        <v>16</v>
      </c>
      <c r="J13" s="59"/>
      <c r="K13" s="51"/>
    </row>
    <row r="14" spans="1:11" ht="15" thickBot="1" x14ac:dyDescent="0.35">
      <c r="A14" s="58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58"/>
      <c r="J14" s="65"/>
      <c r="K14" s="50"/>
    </row>
    <row r="15" spans="1:11" x14ac:dyDescent="0.3">
      <c r="A15" s="57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59">
        <v>46199</v>
      </c>
      <c r="J15" s="59"/>
      <c r="K15" s="51"/>
    </row>
    <row r="16" spans="1:11" ht="15" thickBot="1" x14ac:dyDescent="0.35">
      <c r="A16" s="58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58"/>
      <c r="J16" s="65"/>
      <c r="K16" s="50"/>
    </row>
    <row r="17" spans="1:11" x14ac:dyDescent="0.3">
      <c r="A17" s="62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1">
        <v>46305</v>
      </c>
      <c r="J17" s="61"/>
      <c r="K17" s="52"/>
    </row>
    <row r="18" spans="1:11" ht="15" thickBot="1" x14ac:dyDescent="0.35">
      <c r="A18" s="58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58"/>
      <c r="J18" s="65"/>
      <c r="K18" s="50"/>
    </row>
    <row r="19" spans="1:11" x14ac:dyDescent="0.3">
      <c r="A19" s="62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1">
        <v>46336</v>
      </c>
      <c r="J19" s="61"/>
      <c r="K19" s="52"/>
    </row>
    <row r="20" spans="1:11" ht="15" thickBot="1" x14ac:dyDescent="0.35">
      <c r="A20" s="58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58"/>
      <c r="J20" s="65"/>
      <c r="K20" s="50"/>
    </row>
    <row r="21" spans="1:11" x14ac:dyDescent="0.3">
      <c r="A21" s="57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59">
        <v>46336</v>
      </c>
      <c r="J21" s="59"/>
      <c r="K21" s="53"/>
    </row>
    <row r="22" spans="1:11" ht="15" thickBot="1" x14ac:dyDescent="0.35">
      <c r="A22" s="58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58"/>
      <c r="J22" s="65"/>
      <c r="K22" s="54"/>
    </row>
    <row r="23" spans="1:11" x14ac:dyDescent="0.3">
      <c r="A23" s="57" t="s">
        <v>25</v>
      </c>
      <c r="B23" s="40" t="s">
        <v>11</v>
      </c>
      <c r="C23" s="41">
        <v>46190</v>
      </c>
      <c r="D23" s="41">
        <v>46206</v>
      </c>
      <c r="E23" s="41"/>
      <c r="F23" s="41"/>
      <c r="G23" s="42">
        <v>0.7</v>
      </c>
      <c r="H23" s="40" t="s">
        <v>22</v>
      </c>
      <c r="I23" s="59">
        <v>46218</v>
      </c>
      <c r="J23" s="59"/>
      <c r="K23" s="53"/>
    </row>
    <row r="24" spans="1:11" ht="15" thickBot="1" x14ac:dyDescent="0.35">
      <c r="A24" s="58"/>
      <c r="B24" s="37" t="s">
        <v>13</v>
      </c>
      <c r="C24" s="38">
        <v>46209</v>
      </c>
      <c r="D24" s="38">
        <v>46211</v>
      </c>
      <c r="E24" s="38"/>
      <c r="F24" s="38"/>
      <c r="G24" s="39">
        <v>0</v>
      </c>
      <c r="H24" s="37" t="s">
        <v>22</v>
      </c>
      <c r="I24" s="58"/>
      <c r="J24" s="65"/>
      <c r="K24" s="54"/>
    </row>
    <row r="25" spans="1:11" x14ac:dyDescent="0.3">
      <c r="A25" s="57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59">
        <v>46188</v>
      </c>
      <c r="J25" s="59"/>
      <c r="K25" s="53"/>
    </row>
    <row r="26" spans="1:11" ht="15" thickBot="1" x14ac:dyDescent="0.35">
      <c r="A26" s="58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58"/>
      <c r="J26" s="65"/>
      <c r="K26" s="54"/>
    </row>
    <row r="27" spans="1:11" x14ac:dyDescent="0.3">
      <c r="A27" s="57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59">
        <v>46321</v>
      </c>
      <c r="J27" s="59"/>
      <c r="K27" s="53"/>
    </row>
    <row r="28" spans="1:11" ht="15" thickBot="1" x14ac:dyDescent="0.35">
      <c r="A28" s="58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58"/>
      <c r="J28" s="65"/>
      <c r="K28" s="54"/>
    </row>
    <row r="29" spans="1:11" x14ac:dyDescent="0.3">
      <c r="A29" s="57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59">
        <v>46139</v>
      </c>
      <c r="J29" s="59"/>
      <c r="K29" s="53"/>
    </row>
    <row r="30" spans="1:11" ht="15" thickBot="1" x14ac:dyDescent="0.35">
      <c r="A30" s="58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58"/>
      <c r="J30" s="65"/>
      <c r="K30" s="54"/>
    </row>
    <row r="31" spans="1:11" x14ac:dyDescent="0.3">
      <c r="A31" s="57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59">
        <v>46133</v>
      </c>
      <c r="J31" s="59"/>
      <c r="K31" s="53"/>
    </row>
    <row r="32" spans="1:11" ht="15" thickBot="1" x14ac:dyDescent="0.35">
      <c r="A32" s="58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58"/>
      <c r="J32" s="65"/>
      <c r="K32" s="54"/>
    </row>
    <row r="33" spans="1:11" x14ac:dyDescent="0.3">
      <c r="A33" s="57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59">
        <v>46295</v>
      </c>
      <c r="J33" s="59"/>
      <c r="K33" s="53"/>
    </row>
    <row r="34" spans="1:11" ht="15" thickBot="1" x14ac:dyDescent="0.35">
      <c r="A34" s="58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58"/>
      <c r="J34" s="65"/>
      <c r="K34" s="54"/>
    </row>
    <row r="35" spans="1:11" x14ac:dyDescent="0.3">
      <c r="A35" s="57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59">
        <v>45737</v>
      </c>
      <c r="J35" s="59"/>
      <c r="K35" s="53"/>
    </row>
    <row r="36" spans="1:11" ht="15" thickBot="1" x14ac:dyDescent="0.35">
      <c r="A36" s="58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58"/>
      <c r="J36" s="65"/>
      <c r="K36" s="54"/>
    </row>
    <row r="37" spans="1:11" x14ac:dyDescent="0.3">
      <c r="A37" s="57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59">
        <v>45737</v>
      </c>
      <c r="J37" s="59"/>
      <c r="K37" s="53"/>
    </row>
    <row r="38" spans="1:11" ht="15" thickBot="1" x14ac:dyDescent="0.35">
      <c r="A38" s="58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58"/>
      <c r="J38" s="65"/>
      <c r="K38" s="54"/>
    </row>
  </sheetData>
  <mergeCells count="53"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  <mergeCell ref="J5:J6"/>
    <mergeCell ref="J7:J8"/>
    <mergeCell ref="J9:J10"/>
    <mergeCell ref="J11:J12"/>
    <mergeCell ref="J13:J14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I33:I34"/>
    <mergeCell ref="A21:A22"/>
    <mergeCell ref="I21:I22"/>
    <mergeCell ref="A9:A10"/>
    <mergeCell ref="A13:A14"/>
    <mergeCell ref="I17:I18"/>
    <mergeCell ref="A17:A18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opLeftCell="A7" workbookViewId="0">
      <pane xSplit="1" topLeftCell="B1" activePane="topRight" state="frozen"/>
      <selection pane="topRight" activeCell="F25" sqref="F25"/>
    </sheetView>
  </sheetViews>
  <sheetFormatPr defaultRowHeight="14.4" x14ac:dyDescent="0.3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 x14ac:dyDescent="0.3">
      <c r="A1" s="55" t="s">
        <v>33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</row>
    <row r="2" spans="1:22" x14ac:dyDescent="0.3">
      <c r="A2" s="56" t="s">
        <v>34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</row>
    <row r="4" spans="1:22" ht="41.4" x14ac:dyDescent="0.3">
      <c r="A4" s="1" t="s">
        <v>2</v>
      </c>
      <c r="B4" s="1" t="s">
        <v>7</v>
      </c>
      <c r="C4" s="1" t="s">
        <v>69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72</v>
      </c>
      <c r="V4" s="1" t="s">
        <v>77</v>
      </c>
    </row>
    <row r="5" spans="1:22" s="10" customFormat="1" ht="18.600000000000001" x14ac:dyDescent="0.55000000000000004">
      <c r="A5" s="15" t="s">
        <v>10</v>
      </c>
      <c r="B5" s="15" t="s">
        <v>22</v>
      </c>
      <c r="C5" s="15" t="s">
        <v>70</v>
      </c>
      <c r="D5" s="16">
        <v>0.9</v>
      </c>
      <c r="E5" s="17">
        <v>326786.36</v>
      </c>
      <c r="F5" s="17">
        <f>P5</f>
        <v>130000</v>
      </c>
      <c r="G5" s="17"/>
      <c r="H5" s="17">
        <f>E5*0.8</f>
        <v>261429.08799999999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83</v>
      </c>
      <c r="V5" s="20"/>
    </row>
    <row r="6" spans="1:22" s="10" customFormat="1" ht="18.600000000000001" x14ac:dyDescent="0.55000000000000004">
      <c r="A6" s="15" t="s">
        <v>14</v>
      </c>
      <c r="B6" s="15" t="s">
        <v>15</v>
      </c>
      <c r="C6" s="15" t="s">
        <v>70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4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51</v>
      </c>
      <c r="U6" s="27"/>
      <c r="V6" s="20"/>
    </row>
    <row r="7" spans="1:22" s="10" customFormat="1" ht="18.600000000000001" x14ac:dyDescent="0.55000000000000004">
      <c r="A7" s="15" t="s">
        <v>17</v>
      </c>
      <c r="B7" s="15" t="s">
        <v>22</v>
      </c>
      <c r="C7" s="15" t="s">
        <v>70</v>
      </c>
      <c r="D7" s="16">
        <v>0.9</v>
      </c>
      <c r="E7" s="17">
        <v>576317.9</v>
      </c>
      <c r="F7" s="17">
        <f t="shared" ref="F7:F18" si="1">P7</f>
        <v>280000</v>
      </c>
      <c r="G7" s="17">
        <v>603</v>
      </c>
      <c r="H7" s="17">
        <f>E7*0.9</f>
        <v>518686.11000000004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84</v>
      </c>
      <c r="V7" s="20"/>
    </row>
    <row r="8" spans="1:22" s="10" customFormat="1" ht="18.600000000000001" x14ac:dyDescent="0.55000000000000004">
      <c r="A8" s="15" t="s">
        <v>18</v>
      </c>
      <c r="B8" s="15" t="s">
        <v>12</v>
      </c>
      <c r="C8" s="15" t="s">
        <v>70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85</v>
      </c>
      <c r="V8" s="20">
        <v>46134</v>
      </c>
    </row>
    <row r="9" spans="1:22" s="10" customFormat="1" ht="18.600000000000001" x14ac:dyDescent="0.55000000000000004">
      <c r="A9" s="15" t="s">
        <v>19</v>
      </c>
      <c r="B9" s="15" t="s">
        <v>15</v>
      </c>
      <c r="C9" s="15" t="s">
        <v>70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 x14ac:dyDescent="0.55000000000000004">
      <c r="A10" s="10" t="s">
        <v>20</v>
      </c>
      <c r="B10" s="15" t="s">
        <v>12</v>
      </c>
      <c r="C10" s="15" t="s">
        <v>70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85</v>
      </c>
      <c r="V10" s="20">
        <v>46141</v>
      </c>
    </row>
    <row r="11" spans="1:22" s="10" customFormat="1" ht="18.600000000000001" x14ac:dyDescent="0.55000000000000004">
      <c r="A11" s="10" t="s">
        <v>21</v>
      </c>
      <c r="B11" s="15" t="s">
        <v>22</v>
      </c>
      <c r="C11" s="15" t="s">
        <v>70</v>
      </c>
      <c r="D11" s="16">
        <v>0.7</v>
      </c>
      <c r="E11" s="17">
        <v>1156111.18</v>
      </c>
      <c r="F11" s="17">
        <f>P11*0.3</f>
        <v>84000</v>
      </c>
      <c r="G11" s="17">
        <v>840</v>
      </c>
      <c r="H11" s="17">
        <f t="shared" si="0"/>
        <v>462444.47200000001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64</v>
      </c>
      <c r="U11" s="32" t="s">
        <v>86</v>
      </c>
      <c r="V11" s="20">
        <v>46147</v>
      </c>
    </row>
    <row r="12" spans="1:22" s="10" customFormat="1" ht="18.600000000000001" x14ac:dyDescent="0.55000000000000004">
      <c r="A12" s="10" t="s">
        <v>23</v>
      </c>
      <c r="B12" s="15" t="s">
        <v>15</v>
      </c>
      <c r="C12" s="15" t="s">
        <v>70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66</v>
      </c>
      <c r="U12" s="27"/>
      <c r="V12" s="20">
        <v>46331</v>
      </c>
    </row>
    <row r="13" spans="1:22" s="10" customFormat="1" ht="18.600000000000001" x14ac:dyDescent="0.55000000000000004">
      <c r="A13" s="10" t="s">
        <v>24</v>
      </c>
      <c r="B13" s="15" t="s">
        <v>15</v>
      </c>
      <c r="C13" s="15" t="s">
        <v>70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51</v>
      </c>
      <c r="U13" s="32" t="s">
        <v>87</v>
      </c>
      <c r="V13" s="20">
        <v>46147</v>
      </c>
    </row>
    <row r="14" spans="1:22" s="10" customFormat="1" ht="18.600000000000001" x14ac:dyDescent="0.55000000000000004">
      <c r="A14" s="10" t="s">
        <v>25</v>
      </c>
      <c r="B14" s="15" t="s">
        <v>22</v>
      </c>
      <c r="C14" s="15" t="s">
        <v>70</v>
      </c>
      <c r="D14" s="22">
        <v>0.6</v>
      </c>
      <c r="E14" s="17">
        <v>1707089</v>
      </c>
      <c r="F14" s="17">
        <f>P14*0.3</f>
        <v>197003.709</v>
      </c>
      <c r="G14" s="17">
        <v>215</v>
      </c>
      <c r="H14" s="17">
        <f t="shared" si="0"/>
        <v>682835.60000000009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46218</v>
      </c>
      <c r="T14" s="28" t="s">
        <v>65</v>
      </c>
      <c r="U14" s="30" t="s">
        <v>73</v>
      </c>
      <c r="V14" s="20">
        <v>46169</v>
      </c>
    </row>
    <row r="15" spans="1:22" s="10" customFormat="1" ht="18.600000000000001" x14ac:dyDescent="0.55000000000000004">
      <c r="A15" s="10" t="s">
        <v>26</v>
      </c>
      <c r="B15" s="15" t="s">
        <v>12</v>
      </c>
      <c r="C15" s="15" t="s">
        <v>70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 x14ac:dyDescent="0.55000000000000004">
      <c r="A16" s="10" t="s">
        <v>27</v>
      </c>
      <c r="B16" s="15" t="s">
        <v>22</v>
      </c>
      <c r="C16" s="15" t="s">
        <v>70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88</v>
      </c>
      <c r="V16" s="20">
        <v>46182</v>
      </c>
    </row>
    <row r="17" spans="1:22" s="10" customFormat="1" ht="18.600000000000001" x14ac:dyDescent="0.55000000000000004">
      <c r="A17" s="10" t="s">
        <v>28</v>
      </c>
      <c r="B17" s="15" t="s">
        <v>12</v>
      </c>
      <c r="C17" s="15" t="s">
        <v>70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 x14ac:dyDescent="0.55000000000000004">
      <c r="A18" s="10" t="s">
        <v>29</v>
      </c>
      <c r="B18" s="15" t="s">
        <v>12</v>
      </c>
      <c r="C18" s="15" t="s">
        <v>70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 x14ac:dyDescent="0.55000000000000004">
      <c r="A19" s="10" t="s">
        <v>30</v>
      </c>
      <c r="B19" s="15" t="s">
        <v>22</v>
      </c>
      <c r="C19" s="15" t="s">
        <v>70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95</v>
      </c>
      <c r="U19" s="33" t="s">
        <v>89</v>
      </c>
      <c r="V19" s="20">
        <v>46203</v>
      </c>
    </row>
    <row r="20" spans="1:22" s="10" customFormat="1" ht="18.600000000000001" x14ac:dyDescent="0.55000000000000004">
      <c r="A20" s="10" t="s">
        <v>31</v>
      </c>
      <c r="B20" s="24" t="s">
        <v>22</v>
      </c>
      <c r="C20" s="15" t="s">
        <v>70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67</v>
      </c>
      <c r="U20" s="27"/>
      <c r="V20" s="20"/>
    </row>
    <row r="21" spans="1:22" s="10" customFormat="1" ht="18.600000000000001" x14ac:dyDescent="0.55000000000000004">
      <c r="A21" s="10" t="s">
        <v>32</v>
      </c>
      <c r="B21" s="24" t="s">
        <v>22</v>
      </c>
      <c r="C21" s="15" t="s">
        <v>70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68</v>
      </c>
      <c r="V21" s="20"/>
    </row>
    <row r="22" spans="1:22" s="10" customFormat="1" ht="18.600000000000001" x14ac:dyDescent="0.55000000000000004">
      <c r="A22" s="10" t="s">
        <v>90</v>
      </c>
      <c r="B22" s="24" t="s">
        <v>12</v>
      </c>
      <c r="C22" s="15" t="s">
        <v>92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91</v>
      </c>
      <c r="V22" s="20"/>
    </row>
    <row r="23" spans="1:22" s="10" customFormat="1" ht="18.600000000000001" x14ac:dyDescent="0.55000000000000004">
      <c r="A23" s="10" t="s">
        <v>94</v>
      </c>
      <c r="B23" s="15" t="s">
        <v>22</v>
      </c>
      <c r="C23" s="15" t="s">
        <v>70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/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4" customFormat="1" ht="18.600000000000001" x14ac:dyDescent="0.55000000000000004">
      <c r="V24" s="20"/>
    </row>
    <row r="25" spans="1:22" s="14" customFormat="1" ht="18.600000000000001" x14ac:dyDescent="0.55000000000000004">
      <c r="V25" s="20"/>
    </row>
    <row r="26" spans="1:22" s="14" customFormat="1" ht="18.600000000000001" x14ac:dyDescent="0.55000000000000004">
      <c r="V26" s="20"/>
    </row>
    <row r="27" spans="1:22" s="14" customFormat="1" ht="18.600000000000001" x14ac:dyDescent="0.55000000000000004">
      <c r="V27" s="20"/>
    </row>
    <row r="28" spans="1:22" s="14" customFormat="1" ht="18.600000000000001" x14ac:dyDescent="0.55000000000000004">
      <c r="V28" s="20"/>
    </row>
    <row r="29" spans="1:22" s="14" customFormat="1" ht="18.600000000000001" x14ac:dyDescent="0.55000000000000004">
      <c r="V29" s="20"/>
    </row>
    <row r="30" spans="1:22" s="14" customFormat="1" ht="18.600000000000001" x14ac:dyDescent="0.55000000000000004">
      <c r="V30" s="20"/>
    </row>
    <row r="31" spans="1:22" s="14" customFormat="1" ht="18.600000000000001" x14ac:dyDescent="0.55000000000000004">
      <c r="V31" s="20"/>
    </row>
    <row r="32" spans="1:22" s="14" customFormat="1" ht="18.600000000000001" x14ac:dyDescent="0.55000000000000004">
      <c r="V32" s="20"/>
    </row>
    <row r="33" spans="22:22" s="14" customFormat="1" ht="18.600000000000001" x14ac:dyDescent="0.55000000000000004">
      <c r="V33" s="20"/>
    </row>
    <row r="34" spans="22:22" s="14" customFormat="1" ht="18.600000000000001" x14ac:dyDescent="0.55000000000000004">
      <c r="V34" s="20"/>
    </row>
    <row r="35" spans="22:22" s="14" customFormat="1" ht="18.600000000000001" x14ac:dyDescent="0.55000000000000004">
      <c r="V35" s="20"/>
    </row>
    <row r="36" spans="22:22" s="14" customFormat="1" ht="18.600000000000001" x14ac:dyDescent="0.55000000000000004">
      <c r="V36" s="20"/>
    </row>
    <row r="37" spans="22:22" s="14" customFormat="1" ht="18.600000000000001" x14ac:dyDescent="0.55000000000000004">
      <c r="V37" s="20"/>
    </row>
    <row r="38" spans="22:22" s="14" customFormat="1" ht="18.600000000000001" x14ac:dyDescent="0.55000000000000004">
      <c r="V38" s="20"/>
    </row>
    <row r="39" spans="22:22" s="14" customFormat="1" ht="18.600000000000001" x14ac:dyDescent="0.55000000000000004">
      <c r="V39" s="20"/>
    </row>
    <row r="40" spans="22:22" s="14" customFormat="1" ht="18.600000000000001" x14ac:dyDescent="0.55000000000000004">
      <c r="V40" s="20"/>
    </row>
    <row r="41" spans="22:22" s="9" customFormat="1" ht="18.600000000000001" x14ac:dyDescent="0.55000000000000004">
      <c r="V41" s="20"/>
    </row>
    <row r="42" spans="22:22" s="9" customFormat="1" ht="18.600000000000001" x14ac:dyDescent="0.55000000000000004">
      <c r="V42" s="20"/>
    </row>
    <row r="43" spans="22:22" s="9" customFormat="1" ht="18.600000000000001" x14ac:dyDescent="0.55000000000000004">
      <c r="V43" s="20"/>
    </row>
    <row r="44" spans="22:22" s="9" customFormat="1" ht="18.600000000000001" x14ac:dyDescent="0.55000000000000004">
      <c r="V44" s="20"/>
    </row>
    <row r="45" spans="22:22" s="9" customFormat="1" ht="18.600000000000001" x14ac:dyDescent="0.55000000000000004">
      <c r="V45" s="20"/>
    </row>
    <row r="46" spans="22:22" s="9" customFormat="1" ht="18.600000000000001" x14ac:dyDescent="0.55000000000000004">
      <c r="V46" s="20"/>
    </row>
    <row r="47" spans="22:22" s="9" customFormat="1" ht="18.600000000000001" x14ac:dyDescent="0.55000000000000004">
      <c r="V47" s="20"/>
    </row>
    <row r="48" spans="22:22" s="9" customFormat="1" ht="18.600000000000001" x14ac:dyDescent="0.55000000000000004">
      <c r="V48" s="20"/>
    </row>
    <row r="49" spans="22:22" s="9" customFormat="1" ht="18.600000000000001" x14ac:dyDescent="0.55000000000000004">
      <c r="V49" s="20"/>
    </row>
    <row r="50" spans="22:22" s="9" customFormat="1" ht="18.600000000000001" x14ac:dyDescent="0.55000000000000004">
      <c r="V50" s="20"/>
    </row>
    <row r="51" spans="22:22" s="9" customFormat="1" ht="18.600000000000001" x14ac:dyDescent="0.55000000000000004">
      <c r="V51" s="20"/>
    </row>
    <row r="52" spans="22:22" s="9" customFormat="1" ht="18.600000000000001" x14ac:dyDescent="0.55000000000000004">
      <c r="V52" s="20"/>
    </row>
    <row r="53" spans="22:22" s="9" customFormat="1" ht="18.600000000000001" x14ac:dyDescent="0.55000000000000004">
      <c r="V53" s="20"/>
    </row>
    <row r="54" spans="22:22" s="9" customFormat="1" ht="18.600000000000001" x14ac:dyDescent="0.55000000000000004">
      <c r="V54" s="20"/>
    </row>
    <row r="55" spans="22:22" s="9" customFormat="1" ht="18.600000000000001" x14ac:dyDescent="0.55000000000000004">
      <c r="V55" s="20"/>
    </row>
    <row r="56" spans="22:22" s="9" customFormat="1" ht="18.600000000000001" x14ac:dyDescent="0.55000000000000004">
      <c r="V56" s="20"/>
    </row>
    <row r="57" spans="22:22" s="9" customFormat="1" ht="18.600000000000001" x14ac:dyDescent="0.55000000000000004">
      <c r="V57" s="20"/>
    </row>
    <row r="58" spans="22:22" s="9" customFormat="1" ht="18.600000000000001" x14ac:dyDescent="0.55000000000000004">
      <c r="V58" s="20"/>
    </row>
    <row r="59" spans="22:22" s="9" customFormat="1" ht="18.600000000000001" x14ac:dyDescent="0.55000000000000004">
      <c r="V59" s="20"/>
    </row>
    <row r="60" spans="22:22" s="9" customFormat="1" ht="18.600000000000001" x14ac:dyDescent="0.55000000000000004">
      <c r="V60" s="20"/>
    </row>
    <row r="61" spans="22:22" s="9" customFormat="1" ht="18.600000000000001" x14ac:dyDescent="0.55000000000000004">
      <c r="V61" s="20"/>
    </row>
    <row r="62" spans="22:22" s="9" customFormat="1" ht="18.600000000000001" x14ac:dyDescent="0.55000000000000004">
      <c r="V62" s="20"/>
    </row>
    <row r="63" spans="22:22" s="9" customFormat="1" ht="18.600000000000001" x14ac:dyDescent="0.55000000000000004">
      <c r="V63" s="20"/>
    </row>
    <row r="64" spans="22:22" s="9" customFormat="1" ht="18.600000000000001" x14ac:dyDescent="0.55000000000000004">
      <c r="V64" s="20"/>
    </row>
    <row r="65" spans="22:22" s="9" customFormat="1" ht="18.600000000000001" x14ac:dyDescent="0.55000000000000004">
      <c r="V65" s="20"/>
    </row>
    <row r="66" spans="22:22" s="9" customFormat="1" ht="18.600000000000001" x14ac:dyDescent="0.55000000000000004">
      <c r="V66" s="20"/>
    </row>
    <row r="67" spans="22:22" s="9" customFormat="1" ht="18.600000000000001" x14ac:dyDescent="0.55000000000000004">
      <c r="V67" s="20"/>
    </row>
    <row r="68" spans="22:22" s="9" customFormat="1" ht="18.600000000000001" x14ac:dyDescent="0.55000000000000004">
      <c r="V68" s="20"/>
    </row>
    <row r="69" spans="22:22" s="9" customFormat="1" ht="18.600000000000001" x14ac:dyDescent="0.55000000000000004">
      <c r="V69" s="20"/>
    </row>
    <row r="70" spans="22:22" s="9" customFormat="1" ht="18.600000000000001" x14ac:dyDescent="0.55000000000000004">
      <c r="V70" s="20"/>
    </row>
    <row r="71" spans="22:22" s="9" customFormat="1" ht="18.600000000000001" x14ac:dyDescent="0.55000000000000004">
      <c r="V71" s="20"/>
    </row>
    <row r="72" spans="22:22" s="9" customFormat="1" ht="18.600000000000001" x14ac:dyDescent="0.55000000000000004">
      <c r="V72" s="20"/>
    </row>
    <row r="73" spans="22:22" s="9" customFormat="1" ht="18.600000000000001" x14ac:dyDescent="0.55000000000000004">
      <c r="V73" s="20"/>
    </row>
    <row r="74" spans="22:22" s="9" customFormat="1" ht="18.600000000000001" x14ac:dyDescent="0.55000000000000004">
      <c r="V74" s="20"/>
    </row>
    <row r="75" spans="22:22" s="9" customFormat="1" ht="18.600000000000001" x14ac:dyDescent="0.55000000000000004">
      <c r="V75" s="20"/>
    </row>
    <row r="76" spans="22:22" s="9" customFormat="1" ht="18.600000000000001" x14ac:dyDescent="0.55000000000000004">
      <c r="V76" s="20"/>
    </row>
    <row r="77" spans="22:22" s="9" customFormat="1" ht="18.600000000000001" x14ac:dyDescent="0.55000000000000004">
      <c r="V77" s="20"/>
    </row>
    <row r="78" spans="22:22" s="9" customFormat="1" ht="18.600000000000001" x14ac:dyDescent="0.55000000000000004">
      <c r="V78" s="20"/>
    </row>
    <row r="79" spans="22:22" s="9" customFormat="1" ht="18.600000000000001" x14ac:dyDescent="0.55000000000000004">
      <c r="V79" s="20"/>
    </row>
    <row r="80" spans="22:22" s="9" customFormat="1" ht="18.600000000000001" x14ac:dyDescent="0.55000000000000004">
      <c r="V80" s="20"/>
    </row>
    <row r="81" spans="22:22" s="9" customFormat="1" ht="18.600000000000001" x14ac:dyDescent="0.55000000000000004">
      <c r="V81" s="20"/>
    </row>
    <row r="82" spans="22:22" s="9" customFormat="1" ht="18.600000000000001" x14ac:dyDescent="0.55000000000000004">
      <c r="V82" s="20"/>
    </row>
    <row r="83" spans="22:22" s="9" customFormat="1" ht="18.600000000000001" x14ac:dyDescent="0.55000000000000004">
      <c r="V83" s="20"/>
    </row>
    <row r="84" spans="22:22" s="9" customFormat="1" ht="18.600000000000001" x14ac:dyDescent="0.55000000000000004">
      <c r="V84" s="20"/>
    </row>
    <row r="85" spans="22:22" s="9" customFormat="1" ht="18.600000000000001" x14ac:dyDescent="0.55000000000000004">
      <c r="V85" s="20"/>
    </row>
    <row r="86" spans="22:22" s="9" customFormat="1" ht="18.600000000000001" x14ac:dyDescent="0.55000000000000004">
      <c r="V86" s="20"/>
    </row>
    <row r="87" spans="22:22" s="9" customFormat="1" ht="18.600000000000001" x14ac:dyDescent="0.55000000000000004">
      <c r="V87" s="20"/>
    </row>
    <row r="88" spans="22:22" s="9" customFormat="1" ht="18.600000000000001" x14ac:dyDescent="0.55000000000000004">
      <c r="V88" s="20"/>
    </row>
    <row r="89" spans="22:22" s="9" customFormat="1" ht="18.600000000000001" x14ac:dyDescent="0.55000000000000004">
      <c r="V89" s="20"/>
    </row>
    <row r="90" spans="22:22" s="9" customFormat="1" ht="18.600000000000001" x14ac:dyDescent="0.55000000000000004">
      <c r="V90" s="20"/>
    </row>
    <row r="91" spans="22:22" s="9" customFormat="1" ht="18.600000000000001" x14ac:dyDescent="0.55000000000000004">
      <c r="V91" s="20"/>
    </row>
    <row r="92" spans="22:22" s="9" customFormat="1" ht="18.600000000000001" x14ac:dyDescent="0.55000000000000004">
      <c r="V92" s="20"/>
    </row>
    <row r="93" spans="22:22" s="9" customFormat="1" ht="18.600000000000001" x14ac:dyDescent="0.55000000000000004">
      <c r="V93" s="20"/>
    </row>
    <row r="94" spans="22:22" s="9" customFormat="1" ht="18.600000000000001" x14ac:dyDescent="0.55000000000000004">
      <c r="V94" s="20"/>
    </row>
    <row r="95" spans="22:22" s="9" customFormat="1" ht="18.600000000000001" x14ac:dyDescent="0.55000000000000004">
      <c r="V95" s="20"/>
    </row>
    <row r="96" spans="22:22" s="9" customFormat="1" ht="18.600000000000001" x14ac:dyDescent="0.55000000000000004">
      <c r="V96" s="20"/>
    </row>
    <row r="97" spans="22:22" s="9" customFormat="1" ht="18.600000000000001" x14ac:dyDescent="0.55000000000000004">
      <c r="V97" s="20"/>
    </row>
    <row r="98" spans="22:22" s="9" customFormat="1" ht="18.600000000000001" x14ac:dyDescent="0.55000000000000004">
      <c r="V98" s="20"/>
    </row>
    <row r="99" spans="22:22" s="9" customFormat="1" ht="18.600000000000001" x14ac:dyDescent="0.55000000000000004">
      <c r="V99" s="20"/>
    </row>
    <row r="100" spans="22:22" s="9" customFormat="1" ht="18.600000000000001" x14ac:dyDescent="0.55000000000000004">
      <c r="V100" s="20"/>
    </row>
    <row r="101" spans="22:22" s="9" customFormat="1" ht="18.600000000000001" x14ac:dyDescent="0.55000000000000004">
      <c r="V101" s="20"/>
    </row>
    <row r="102" spans="22:22" s="9" customFormat="1" ht="18.600000000000001" x14ac:dyDescent="0.55000000000000004">
      <c r="V102" s="20"/>
    </row>
    <row r="103" spans="22:22" s="9" customFormat="1" ht="18.600000000000001" x14ac:dyDescent="0.55000000000000004">
      <c r="V103" s="20"/>
    </row>
    <row r="104" spans="22:22" s="9" customFormat="1" ht="18.600000000000001" x14ac:dyDescent="0.55000000000000004">
      <c r="V104" s="20"/>
    </row>
    <row r="105" spans="22:22" s="9" customFormat="1" ht="18.600000000000001" x14ac:dyDescent="0.55000000000000004">
      <c r="V105" s="20"/>
    </row>
    <row r="106" spans="22:22" s="9" customFormat="1" ht="18.600000000000001" x14ac:dyDescent="0.55000000000000004">
      <c r="V106" s="20"/>
    </row>
    <row r="107" spans="22:22" s="9" customFormat="1" ht="18.600000000000001" x14ac:dyDescent="0.55000000000000004">
      <c r="V107" s="20"/>
    </row>
    <row r="108" spans="22:22" s="9" customFormat="1" ht="18.600000000000001" x14ac:dyDescent="0.55000000000000004">
      <c r="V108" s="20"/>
    </row>
    <row r="109" spans="22:22" s="9" customFormat="1" ht="18.600000000000001" x14ac:dyDescent="0.55000000000000004">
      <c r="V109" s="20"/>
    </row>
    <row r="110" spans="22:22" s="9" customFormat="1" ht="18.600000000000001" x14ac:dyDescent="0.55000000000000004">
      <c r="V110" s="20"/>
    </row>
    <row r="111" spans="22:22" s="9" customFormat="1" ht="18.600000000000001" x14ac:dyDescent="0.55000000000000004">
      <c r="V111" s="20"/>
    </row>
    <row r="112" spans="22:22" s="9" customFormat="1" ht="18.600000000000001" x14ac:dyDescent="0.55000000000000004">
      <c r="V112" s="20"/>
    </row>
    <row r="113" spans="22:22" s="9" customFormat="1" ht="18.600000000000001" x14ac:dyDescent="0.55000000000000004">
      <c r="V113" s="20"/>
    </row>
    <row r="114" spans="22:22" s="9" customFormat="1" ht="18.600000000000001" x14ac:dyDescent="0.55000000000000004">
      <c r="V114" s="20"/>
    </row>
    <row r="115" spans="22:22" s="9" customFormat="1" ht="18.600000000000001" x14ac:dyDescent="0.55000000000000004">
      <c r="V115" s="20"/>
    </row>
    <row r="116" spans="22:22" s="9" customFormat="1" ht="18.600000000000001" x14ac:dyDescent="0.55000000000000004">
      <c r="V116" s="20"/>
    </row>
    <row r="117" spans="22:22" s="9" customFormat="1" ht="18.600000000000001" x14ac:dyDescent="0.55000000000000004">
      <c r="V117" s="20"/>
    </row>
    <row r="118" spans="22:22" s="9" customFormat="1" ht="18.600000000000001" x14ac:dyDescent="0.55000000000000004">
      <c r="V118" s="20"/>
    </row>
    <row r="119" spans="22:22" s="9" customFormat="1" ht="18.600000000000001" x14ac:dyDescent="0.55000000000000004">
      <c r="V119" s="20"/>
    </row>
    <row r="120" spans="22:22" s="9" customFormat="1" ht="18.600000000000001" x14ac:dyDescent="0.55000000000000004">
      <c r="V120" s="20"/>
    </row>
    <row r="121" spans="22:22" s="9" customFormat="1" ht="18.600000000000001" x14ac:dyDescent="0.55000000000000004">
      <c r="V121" s="20"/>
    </row>
    <row r="122" spans="22:22" s="9" customFormat="1" ht="18.600000000000001" x14ac:dyDescent="0.55000000000000004">
      <c r="V122" s="20"/>
    </row>
    <row r="123" spans="22:22" s="9" customFormat="1" ht="18.600000000000001" x14ac:dyDescent="0.55000000000000004">
      <c r="V123" s="20"/>
    </row>
    <row r="124" spans="22:22" s="9" customFormat="1" ht="18.600000000000001" x14ac:dyDescent="0.55000000000000004">
      <c r="V124" s="20"/>
    </row>
    <row r="125" spans="22:22" s="9" customFormat="1" ht="18.600000000000001" x14ac:dyDescent="0.55000000000000004">
      <c r="V125" s="20"/>
    </row>
    <row r="126" spans="22:22" s="9" customFormat="1" ht="18.600000000000001" x14ac:dyDescent="0.55000000000000004">
      <c r="V126" s="20"/>
    </row>
    <row r="127" spans="22:22" s="9" customFormat="1" ht="18.600000000000001" x14ac:dyDescent="0.55000000000000004">
      <c r="V127" s="20"/>
    </row>
    <row r="128" spans="22:22" s="9" customFormat="1" ht="18.600000000000001" x14ac:dyDescent="0.55000000000000004">
      <c r="V128" s="20"/>
    </row>
    <row r="129" spans="22:22" s="9" customFormat="1" ht="18.600000000000001" x14ac:dyDescent="0.55000000000000004">
      <c r="V129" s="20"/>
    </row>
    <row r="130" spans="22:22" s="9" customFormat="1" ht="18.600000000000001" x14ac:dyDescent="0.55000000000000004">
      <c r="V130" s="20"/>
    </row>
    <row r="131" spans="22:22" s="9" customFormat="1" ht="18.600000000000001" x14ac:dyDescent="0.55000000000000004">
      <c r="V131" s="20"/>
    </row>
    <row r="132" spans="22:22" s="9" customFormat="1" ht="18.600000000000001" x14ac:dyDescent="0.55000000000000004">
      <c r="V132" s="20"/>
    </row>
    <row r="133" spans="22:22" s="9" customFormat="1" ht="18.600000000000001" x14ac:dyDescent="0.55000000000000004">
      <c r="V133" s="20"/>
    </row>
    <row r="134" spans="22:22" s="9" customFormat="1" ht="18.600000000000001" x14ac:dyDescent="0.55000000000000004">
      <c r="V134" s="20"/>
    </row>
    <row r="135" spans="22:22" s="9" customFormat="1" ht="18.600000000000001" x14ac:dyDescent="0.55000000000000004">
      <c r="V135" s="20"/>
    </row>
    <row r="136" spans="22:22" s="9" customFormat="1" ht="18.600000000000001" x14ac:dyDescent="0.55000000000000004">
      <c r="V136" s="20"/>
    </row>
    <row r="137" spans="22:22" s="9" customFormat="1" ht="18.600000000000001" x14ac:dyDescent="0.55000000000000004">
      <c r="V137" s="20"/>
    </row>
    <row r="138" spans="22:22" s="9" customFormat="1" ht="18.600000000000001" x14ac:dyDescent="0.55000000000000004">
      <c r="V138" s="20"/>
    </row>
    <row r="139" spans="22:22" s="9" customFormat="1" ht="18.600000000000001" x14ac:dyDescent="0.55000000000000004">
      <c r="V139" s="20"/>
    </row>
    <row r="140" spans="22:22" s="9" customFormat="1" ht="18.600000000000001" x14ac:dyDescent="0.55000000000000004">
      <c r="V140" s="20"/>
    </row>
    <row r="141" spans="22:22" s="9" customFormat="1" ht="18.600000000000001" x14ac:dyDescent="0.55000000000000004">
      <c r="V141" s="20"/>
    </row>
    <row r="142" spans="22:22" s="9" customFormat="1" ht="18.600000000000001" x14ac:dyDescent="0.55000000000000004">
      <c r="V142" s="20"/>
    </row>
    <row r="143" spans="22:22" s="9" customFormat="1" ht="18.600000000000001" x14ac:dyDescent="0.55000000000000004">
      <c r="V143" s="20"/>
    </row>
    <row r="144" spans="22:22" s="9" customFormat="1" ht="18.600000000000001" x14ac:dyDescent="0.55000000000000004">
      <c r="V144" s="20"/>
    </row>
    <row r="145" spans="22:22" s="9" customFormat="1" ht="18.600000000000001" x14ac:dyDescent="0.55000000000000004">
      <c r="V145" s="20"/>
    </row>
    <row r="146" spans="22:22" s="9" customFormat="1" ht="18.600000000000001" x14ac:dyDescent="0.55000000000000004">
      <c r="V146" s="20"/>
    </row>
    <row r="147" spans="22:22" s="9" customFormat="1" ht="18.600000000000001" x14ac:dyDescent="0.55000000000000004">
      <c r="V147" s="20"/>
    </row>
    <row r="148" spans="22:22" s="9" customFormat="1" ht="18.600000000000001" x14ac:dyDescent="0.55000000000000004">
      <c r="V148" s="20"/>
    </row>
    <row r="149" spans="22:22" s="9" customFormat="1" ht="18.600000000000001" x14ac:dyDescent="0.55000000000000004">
      <c r="V149" s="20"/>
    </row>
    <row r="150" spans="22:22" s="9" customFormat="1" ht="18.600000000000001" x14ac:dyDescent="0.55000000000000004">
      <c r="V150" s="20"/>
    </row>
    <row r="151" spans="22:22" s="9" customFormat="1" ht="18.600000000000001" x14ac:dyDescent="0.55000000000000004">
      <c r="V151" s="20"/>
    </row>
    <row r="152" spans="22:22" s="9" customFormat="1" ht="18.600000000000001" x14ac:dyDescent="0.55000000000000004">
      <c r="V152" s="20"/>
    </row>
    <row r="153" spans="22:22" s="9" customFormat="1" ht="18.600000000000001" x14ac:dyDescent="0.55000000000000004">
      <c r="V153" s="20"/>
    </row>
    <row r="154" spans="22:22" s="9" customFormat="1" ht="18.600000000000001" x14ac:dyDescent="0.55000000000000004">
      <c r="V154" s="20"/>
    </row>
    <row r="155" spans="22:22" s="9" customFormat="1" ht="18.600000000000001" x14ac:dyDescent="0.55000000000000004">
      <c r="V155" s="20"/>
    </row>
    <row r="156" spans="22:22" s="9" customFormat="1" ht="18.600000000000001" x14ac:dyDescent="0.55000000000000004">
      <c r="V156" s="20"/>
    </row>
    <row r="157" spans="22:22" s="9" customFormat="1" ht="18.600000000000001" x14ac:dyDescent="0.55000000000000004">
      <c r="V157" s="20"/>
    </row>
    <row r="158" spans="22:22" s="9" customFormat="1" ht="18.600000000000001" x14ac:dyDescent="0.55000000000000004">
      <c r="V158" s="20"/>
    </row>
    <row r="159" spans="22:22" s="9" customFormat="1" ht="18.600000000000001" x14ac:dyDescent="0.55000000000000004">
      <c r="V159" s="20"/>
    </row>
    <row r="160" spans="22:22" s="9" customFormat="1" ht="18.600000000000001" x14ac:dyDescent="0.55000000000000004">
      <c r="V160" s="20"/>
    </row>
    <row r="161" spans="22:22" s="9" customFormat="1" ht="18.600000000000001" x14ac:dyDescent="0.55000000000000004">
      <c r="V161" s="20"/>
    </row>
    <row r="162" spans="22:22" s="9" customFormat="1" ht="18.600000000000001" x14ac:dyDescent="0.55000000000000004">
      <c r="V162" s="20"/>
    </row>
    <row r="163" spans="22:22" s="9" customFormat="1" ht="18.600000000000001" x14ac:dyDescent="0.55000000000000004">
      <c r="V163" s="20"/>
    </row>
    <row r="164" spans="22:22" s="9" customFormat="1" ht="18.600000000000001" x14ac:dyDescent="0.55000000000000004">
      <c r="V164" s="20"/>
    </row>
    <row r="165" spans="22:22" s="9" customFormat="1" ht="18.600000000000001" x14ac:dyDescent="0.55000000000000004">
      <c r="V165" s="20"/>
    </row>
    <row r="166" spans="22:22" s="9" customFormat="1" ht="18.600000000000001" x14ac:dyDescent="0.55000000000000004">
      <c r="V166" s="20"/>
    </row>
    <row r="167" spans="22:22" s="9" customFormat="1" ht="18.600000000000001" x14ac:dyDescent="0.55000000000000004">
      <c r="V167" s="20"/>
    </row>
    <row r="168" spans="22:22" s="9" customFormat="1" ht="18.600000000000001" x14ac:dyDescent="0.55000000000000004">
      <c r="V168" s="20"/>
    </row>
    <row r="169" spans="22:22" s="9" customFormat="1" ht="18.600000000000001" x14ac:dyDescent="0.55000000000000004">
      <c r="V169" s="20"/>
    </row>
    <row r="170" spans="22:22" s="9" customFormat="1" ht="18.600000000000001" x14ac:dyDescent="0.55000000000000004">
      <c r="V170" s="20"/>
    </row>
    <row r="171" spans="22:22" s="9" customFormat="1" ht="18.600000000000001" x14ac:dyDescent="0.55000000000000004">
      <c r="V171" s="20"/>
    </row>
    <row r="172" spans="22:22" s="9" customFormat="1" ht="18.600000000000001" x14ac:dyDescent="0.55000000000000004">
      <c r="V172" s="20"/>
    </row>
    <row r="173" spans="22:22" s="9" customFormat="1" ht="18.600000000000001" x14ac:dyDescent="0.55000000000000004">
      <c r="V173" s="20"/>
    </row>
    <row r="174" spans="22:22" s="9" customFormat="1" ht="18.600000000000001" x14ac:dyDescent="0.55000000000000004">
      <c r="V174" s="20"/>
    </row>
    <row r="175" spans="22:22" s="9" customFormat="1" ht="18.600000000000001" x14ac:dyDescent="0.55000000000000004">
      <c r="V175" s="20"/>
    </row>
    <row r="176" spans="22:22" s="9" customFormat="1" ht="18.600000000000001" x14ac:dyDescent="0.55000000000000004">
      <c r="V176" s="20"/>
    </row>
    <row r="177" spans="22:22" s="9" customFormat="1" ht="18.600000000000001" x14ac:dyDescent="0.55000000000000004">
      <c r="V177" s="20"/>
    </row>
    <row r="178" spans="22:22" s="9" customFormat="1" ht="18.600000000000001" x14ac:dyDescent="0.55000000000000004">
      <c r="V178" s="20"/>
    </row>
    <row r="179" spans="22:22" s="9" customFormat="1" ht="18.600000000000001" x14ac:dyDescent="0.55000000000000004">
      <c r="V179" s="20"/>
    </row>
    <row r="180" spans="22:22" s="9" customFormat="1" ht="18.600000000000001" x14ac:dyDescent="0.55000000000000004">
      <c r="V180" s="20"/>
    </row>
    <row r="181" spans="22:22" s="9" customFormat="1" ht="18.600000000000001" x14ac:dyDescent="0.55000000000000004">
      <c r="V181" s="20"/>
    </row>
    <row r="182" spans="22:22" s="9" customFormat="1" ht="18.600000000000001" x14ac:dyDescent="0.55000000000000004">
      <c r="V182" s="20"/>
    </row>
    <row r="183" spans="22:22" s="9" customFormat="1" ht="18.600000000000001" x14ac:dyDescent="0.55000000000000004">
      <c r="V183" s="20"/>
    </row>
    <row r="184" spans="22:22" s="9" customFormat="1" ht="18.600000000000001" x14ac:dyDescent="0.55000000000000004">
      <c r="V184" s="20"/>
    </row>
    <row r="185" spans="22:22" s="9" customFormat="1" ht="18.600000000000001" x14ac:dyDescent="0.55000000000000004">
      <c r="V185" s="20"/>
    </row>
    <row r="186" spans="22:22" s="9" customFormat="1" ht="18.600000000000001" x14ac:dyDescent="0.55000000000000004">
      <c r="V186" s="20"/>
    </row>
    <row r="187" spans="22:22" s="9" customFormat="1" ht="18.600000000000001" x14ac:dyDescent="0.55000000000000004">
      <c r="V187" s="20"/>
    </row>
    <row r="188" spans="22:22" s="9" customFormat="1" ht="18.600000000000001" x14ac:dyDescent="0.55000000000000004">
      <c r="V188" s="20"/>
    </row>
    <row r="189" spans="22:22" s="9" customFormat="1" ht="18.600000000000001" x14ac:dyDescent="0.55000000000000004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5" activePane="bottomLeft" state="frozen"/>
      <selection pane="bottomLeft" activeCell="L14" sqref="L14"/>
    </sheetView>
  </sheetViews>
  <sheetFormatPr defaultRowHeight="14.4" x14ac:dyDescent="0.3"/>
  <cols>
    <col min="1" max="1" width="14" customWidth="1"/>
    <col min="2" max="2" width="26.77734375" customWidth="1"/>
    <col min="3" max="3" width="22" customWidth="1"/>
    <col min="4" max="4" width="18" customWidth="1"/>
  </cols>
  <sheetData>
    <row r="1" spans="1:5" ht="17.399999999999999" x14ac:dyDescent="0.3">
      <c r="A1" s="55" t="s">
        <v>57</v>
      </c>
      <c r="B1" s="55"/>
      <c r="C1" s="60"/>
      <c r="D1" s="60"/>
    </row>
    <row r="2" spans="1:5" x14ac:dyDescent="0.3">
      <c r="A2" s="56" t="s">
        <v>58</v>
      </c>
      <c r="B2" s="56"/>
      <c r="C2" s="60"/>
      <c r="D2" s="60"/>
    </row>
    <row r="4" spans="1:5" x14ac:dyDescent="0.3">
      <c r="A4" s="1" t="s">
        <v>71</v>
      </c>
      <c r="B4" s="1" t="s">
        <v>2</v>
      </c>
      <c r="C4" s="1" t="s">
        <v>59</v>
      </c>
      <c r="D4" s="1" t="s">
        <v>60</v>
      </c>
      <c r="E4" s="66" t="s">
        <v>93</v>
      </c>
    </row>
    <row r="5" spans="1:5" x14ac:dyDescent="0.3">
      <c r="A5" s="6"/>
      <c r="B5" s="6"/>
      <c r="C5" s="5"/>
      <c r="D5" s="8"/>
    </row>
    <row r="6" spans="1:5" x14ac:dyDescent="0.3">
      <c r="A6" s="6"/>
      <c r="B6" s="6"/>
      <c r="C6" s="5"/>
      <c r="D6" s="8"/>
    </row>
    <row r="7" spans="1:5" x14ac:dyDescent="0.3">
      <c r="A7" s="6">
        <v>46185</v>
      </c>
      <c r="B7" s="5"/>
      <c r="C7" s="5" t="s">
        <v>61</v>
      </c>
      <c r="D7" s="8">
        <v>4</v>
      </c>
    </row>
    <row r="8" spans="1:5" x14ac:dyDescent="0.3">
      <c r="A8" s="6">
        <v>46189</v>
      </c>
      <c r="B8" s="5"/>
      <c r="C8" s="5" t="s">
        <v>61</v>
      </c>
      <c r="D8" s="8">
        <v>4</v>
      </c>
    </row>
    <row r="9" spans="1:5" x14ac:dyDescent="0.3">
      <c r="A9" s="6">
        <v>46183</v>
      </c>
      <c r="B9" s="5"/>
      <c r="C9" s="5" t="s">
        <v>62</v>
      </c>
      <c r="D9" s="8">
        <v>3</v>
      </c>
    </row>
    <row r="10" spans="1:5" x14ac:dyDescent="0.3">
      <c r="A10" s="6">
        <v>46185</v>
      </c>
      <c r="B10" s="5"/>
      <c r="C10" s="5" t="s">
        <v>63</v>
      </c>
      <c r="D10" s="8">
        <v>2.5</v>
      </c>
    </row>
    <row r="11" spans="1:5" x14ac:dyDescent="0.3">
      <c r="A11" s="6">
        <v>46190</v>
      </c>
      <c r="B11" s="5"/>
      <c r="C11" s="5" t="s">
        <v>61</v>
      </c>
      <c r="D11" s="8">
        <v>3</v>
      </c>
    </row>
    <row r="12" spans="1:5" x14ac:dyDescent="0.3">
      <c r="A12" s="6">
        <v>46190</v>
      </c>
      <c r="B12" s="5"/>
      <c r="C12" s="5" t="s">
        <v>63</v>
      </c>
      <c r="D12" s="8">
        <v>3</v>
      </c>
    </row>
    <row r="13" spans="1:5" x14ac:dyDescent="0.3">
      <c r="A13" s="6">
        <v>46192</v>
      </c>
      <c r="B13" s="5"/>
      <c r="C13" s="5" t="s">
        <v>61</v>
      </c>
      <c r="D13" s="8">
        <v>3</v>
      </c>
    </row>
    <row r="14" spans="1:5" x14ac:dyDescent="0.3">
      <c r="A14" s="6">
        <v>46197</v>
      </c>
      <c r="B14" s="5"/>
      <c r="C14" s="5" t="s">
        <v>63</v>
      </c>
      <c r="D14" s="8">
        <v>3</v>
      </c>
    </row>
    <row r="15" spans="1:5" x14ac:dyDescent="0.3">
      <c r="A15" s="3">
        <v>46198</v>
      </c>
      <c r="B15" s="5"/>
      <c r="C15" s="5" t="s">
        <v>61</v>
      </c>
      <c r="D15" s="4">
        <v>6</v>
      </c>
    </row>
    <row r="16" spans="1:5" x14ac:dyDescent="0.3">
      <c r="A16" s="3">
        <v>46202</v>
      </c>
      <c r="B16" s="5"/>
      <c r="C16" s="5" t="s">
        <v>61</v>
      </c>
      <c r="D16" s="4">
        <v>6</v>
      </c>
    </row>
    <row r="17" spans="1:4" x14ac:dyDescent="0.3">
      <c r="A17" s="3">
        <v>46205</v>
      </c>
      <c r="B17" s="5"/>
      <c r="C17" s="5" t="s">
        <v>61</v>
      </c>
      <c r="D17" s="4">
        <v>4</v>
      </c>
    </row>
    <row r="18" spans="1:4" x14ac:dyDescent="0.3">
      <c r="A18" s="3">
        <v>46206</v>
      </c>
      <c r="B18" s="5"/>
      <c r="C18" s="5" t="s">
        <v>61</v>
      </c>
      <c r="D18" s="4">
        <v>4</v>
      </c>
    </row>
    <row r="19" spans="1:4" x14ac:dyDescent="0.3">
      <c r="A19" s="3">
        <v>46216</v>
      </c>
      <c r="B19" s="5"/>
      <c r="C19" s="5" t="s">
        <v>61</v>
      </c>
      <c r="D19" s="4">
        <v>6</v>
      </c>
    </row>
    <row r="20" spans="1:4" x14ac:dyDescent="0.3">
      <c r="A20" s="3">
        <v>46218</v>
      </c>
      <c r="B20" s="5"/>
      <c r="C20" s="5" t="s">
        <v>61</v>
      </c>
      <c r="D20" s="4">
        <v>6</v>
      </c>
    </row>
    <row r="21" spans="1:4" x14ac:dyDescent="0.3">
      <c r="A21" s="3"/>
      <c r="B21" s="3"/>
      <c r="C21" s="2"/>
      <c r="D21" s="4"/>
    </row>
    <row r="22" spans="1:4" x14ac:dyDescent="0.3">
      <c r="A22" s="3"/>
      <c r="B22" s="3"/>
      <c r="C22" s="2"/>
      <c r="D22" s="4"/>
    </row>
    <row r="23" spans="1:4" x14ac:dyDescent="0.3">
      <c r="A23" s="3"/>
      <c r="B23" s="3"/>
      <c r="C23" s="2"/>
      <c r="D23" s="4"/>
    </row>
    <row r="24" spans="1:4" x14ac:dyDescent="0.3">
      <c r="A24" s="3"/>
      <c r="B24" s="3"/>
      <c r="C24" s="2"/>
      <c r="D24" s="4"/>
    </row>
    <row r="25" spans="1:4" x14ac:dyDescent="0.3">
      <c r="A25" s="3"/>
      <c r="B25" s="3"/>
      <c r="C25" s="2"/>
      <c r="D25" s="4"/>
    </row>
    <row r="26" spans="1:4" x14ac:dyDescent="0.3">
      <c r="A26" s="3"/>
      <c r="B26" s="3"/>
      <c r="C26" s="2"/>
      <c r="D26" s="4"/>
    </row>
    <row r="27" spans="1:4" x14ac:dyDescent="0.3">
      <c r="A27" s="3"/>
      <c r="B27" s="3"/>
      <c r="C27" s="2"/>
      <c r="D27" s="4"/>
    </row>
    <row r="28" spans="1:4" x14ac:dyDescent="0.3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tabSelected="1" workbookViewId="0">
      <pane ySplit="4" topLeftCell="A5" activePane="bottomLeft" state="frozen"/>
      <selection pane="bottomLeft" activeCell="B13" sqref="B13"/>
    </sheetView>
  </sheetViews>
  <sheetFormatPr defaultRowHeight="14.4" x14ac:dyDescent="0.3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 x14ac:dyDescent="0.3">
      <c r="A1" s="55" t="s">
        <v>78</v>
      </c>
      <c r="B1" s="55"/>
      <c r="C1" s="55"/>
      <c r="D1" s="55"/>
      <c r="E1" s="55"/>
    </row>
    <row r="2" spans="1:5" x14ac:dyDescent="0.3">
      <c r="A2" s="56" t="s">
        <v>79</v>
      </c>
      <c r="B2" s="56"/>
      <c r="C2" s="56"/>
      <c r="D2" s="56"/>
      <c r="E2" s="56"/>
    </row>
    <row r="4" spans="1:5" x14ac:dyDescent="0.3">
      <c r="A4" s="1" t="s">
        <v>80</v>
      </c>
      <c r="B4" s="1" t="s">
        <v>81</v>
      </c>
      <c r="C4" s="1" t="s">
        <v>4</v>
      </c>
      <c r="D4" s="1" t="s">
        <v>5</v>
      </c>
      <c r="E4" t="s">
        <v>7</v>
      </c>
    </row>
    <row r="5" spans="1:5" x14ac:dyDescent="0.3">
      <c r="A5" s="3" t="s">
        <v>96</v>
      </c>
      <c r="B5" s="3" t="s">
        <v>97</v>
      </c>
      <c r="C5" s="6">
        <v>46204</v>
      </c>
      <c r="D5" s="6">
        <v>46224</v>
      </c>
      <c r="E5" t="s">
        <v>82</v>
      </c>
    </row>
    <row r="6" spans="1:5" x14ac:dyDescent="0.3">
      <c r="A6" s="3" t="s">
        <v>98</v>
      </c>
      <c r="B6" s="3" t="s">
        <v>99</v>
      </c>
      <c r="C6" s="6">
        <v>46204</v>
      </c>
      <c r="D6" s="6">
        <v>46224</v>
      </c>
      <c r="E6" t="s">
        <v>82</v>
      </c>
    </row>
    <row r="7" spans="1:5" x14ac:dyDescent="0.3">
      <c r="A7" s="3" t="s">
        <v>100</v>
      </c>
      <c r="B7" s="2" t="s">
        <v>101</v>
      </c>
      <c r="C7" s="6">
        <v>46204</v>
      </c>
      <c r="D7" s="6">
        <v>46224</v>
      </c>
      <c r="E7" t="s">
        <v>82</v>
      </c>
    </row>
    <row r="8" spans="1:5" x14ac:dyDescent="0.3">
      <c r="A8" s="6"/>
      <c r="B8" s="5"/>
      <c r="C8" s="6"/>
      <c r="D8" s="6"/>
    </row>
    <row r="9" spans="1:5" x14ac:dyDescent="0.3">
      <c r="A9" s="6"/>
      <c r="B9" s="5"/>
      <c r="C9" s="6"/>
      <c r="D9" s="6"/>
    </row>
    <row r="10" spans="1:5" x14ac:dyDescent="0.3">
      <c r="A10" s="6"/>
      <c r="B10" s="5"/>
      <c r="C10" s="6"/>
      <c r="D10" s="6"/>
    </row>
    <row r="11" spans="1:5" x14ac:dyDescent="0.3">
      <c r="A11" s="6"/>
      <c r="B11" s="5"/>
      <c r="C11" s="6"/>
      <c r="D11" s="6"/>
    </row>
    <row r="12" spans="1:5" x14ac:dyDescent="0.3">
      <c r="A12" s="6"/>
      <c r="B12" s="5"/>
      <c r="C12" s="6"/>
      <c r="D12" s="6"/>
    </row>
    <row r="13" spans="1:5" x14ac:dyDescent="0.3">
      <c r="A13" s="6"/>
      <c r="B13" s="5"/>
      <c r="C13" s="6"/>
      <c r="D13" s="6"/>
    </row>
    <row r="14" spans="1:5" x14ac:dyDescent="0.3">
      <c r="A14" s="6"/>
      <c r="B14" s="5"/>
      <c r="C14" s="6"/>
      <c r="D14" s="6"/>
    </row>
    <row r="15" spans="1:5" x14ac:dyDescent="0.3">
      <c r="A15" s="3"/>
      <c r="B15" s="5"/>
      <c r="C15" s="6"/>
      <c r="D15" s="3"/>
    </row>
    <row r="16" spans="1:5" x14ac:dyDescent="0.3">
      <c r="A16" s="3"/>
      <c r="B16" s="5"/>
      <c r="C16" s="6"/>
      <c r="D16" s="3"/>
    </row>
    <row r="17" spans="1:4" x14ac:dyDescent="0.3">
      <c r="A17" s="3"/>
      <c r="B17" s="5"/>
      <c r="C17" s="6"/>
      <c r="D17" s="3"/>
    </row>
    <row r="18" spans="1:4" x14ac:dyDescent="0.3">
      <c r="A18" s="3"/>
      <c r="B18" s="5"/>
      <c r="C18" s="6"/>
      <c r="D18" s="3"/>
    </row>
    <row r="19" spans="1:4" x14ac:dyDescent="0.3">
      <c r="A19" s="3"/>
      <c r="B19" s="5"/>
      <c r="C19" s="6"/>
      <c r="D19" s="3"/>
    </row>
    <row r="20" spans="1:4" x14ac:dyDescent="0.3">
      <c r="A20" s="3"/>
      <c r="B20" s="5"/>
      <c r="C20" s="6"/>
      <c r="D20" s="3"/>
    </row>
    <row r="21" spans="1:4" x14ac:dyDescent="0.3">
      <c r="A21" s="3"/>
      <c r="B21" s="3"/>
      <c r="C21" s="3"/>
      <c r="D21" s="3"/>
    </row>
    <row r="22" spans="1:4" x14ac:dyDescent="0.3">
      <c r="A22" s="3"/>
      <c r="B22" s="3"/>
      <c r="C22" s="3"/>
      <c r="D22" s="3"/>
    </row>
    <row r="23" spans="1:4" x14ac:dyDescent="0.3">
      <c r="A23" s="3"/>
      <c r="B23" s="3"/>
      <c r="C23" s="3"/>
      <c r="D23" s="3"/>
    </row>
    <row r="24" spans="1:4" x14ac:dyDescent="0.3">
      <c r="A24" s="3"/>
      <c r="B24" s="3"/>
      <c r="C24" s="3"/>
      <c r="D24" s="3"/>
    </row>
    <row r="25" spans="1:4" x14ac:dyDescent="0.3">
      <c r="A25" s="3"/>
      <c r="B25" s="3"/>
      <c r="C25" s="3"/>
      <c r="D25" s="3"/>
    </row>
    <row r="26" spans="1:4" x14ac:dyDescent="0.3">
      <c r="A26" s="3"/>
      <c r="B26" s="3"/>
      <c r="C26" s="3"/>
      <c r="D26" s="3"/>
    </row>
    <row r="27" spans="1:4" x14ac:dyDescent="0.3">
      <c r="A27" s="3"/>
      <c r="B27" s="3"/>
      <c r="C27" s="3"/>
      <c r="D27" s="3"/>
    </row>
    <row r="28" spans="1:4" x14ac:dyDescent="0.3">
      <c r="A28" s="3"/>
      <c r="B28" s="3"/>
      <c r="C28" s="3"/>
      <c r="D28" s="3"/>
    </row>
    <row r="29" spans="1:4" x14ac:dyDescent="0.3">
      <c r="C29" s="31"/>
      <c r="D29" s="31"/>
    </row>
    <row r="30" spans="1:4" x14ac:dyDescent="0.3">
      <c r="C30" s="31"/>
      <c r="D30" s="31"/>
    </row>
    <row r="31" spans="1:4" x14ac:dyDescent="0.3">
      <c r="C31" s="31"/>
      <c r="D31" s="31"/>
    </row>
    <row r="32" spans="1:4" x14ac:dyDescent="0.3">
      <c r="C32" s="31"/>
      <c r="D32" s="31"/>
    </row>
    <row r="33" spans="3:4" x14ac:dyDescent="0.3">
      <c r="C33" s="31"/>
      <c r="D33" s="31"/>
    </row>
    <row r="34" spans="3:4" x14ac:dyDescent="0.3">
      <c r="C34" s="31"/>
      <c r="D34" s="31"/>
    </row>
    <row r="35" spans="3:4" x14ac:dyDescent="0.3">
      <c r="C35" s="31"/>
      <c r="D35" s="31"/>
    </row>
    <row r="36" spans="3:4" x14ac:dyDescent="0.3">
      <c r="C36" s="31"/>
      <c r="D36" s="31"/>
    </row>
    <row r="37" spans="3:4" x14ac:dyDescent="0.3">
      <c r="C37" s="31"/>
      <c r="D37" s="31"/>
    </row>
    <row r="38" spans="3:4" x14ac:dyDescent="0.3">
      <c r="C38" s="31"/>
      <c r="D38" s="31"/>
    </row>
    <row r="39" spans="3:4" x14ac:dyDescent="0.3">
      <c r="C39" s="31"/>
      <c r="D39" s="31"/>
    </row>
    <row r="40" spans="3:4" x14ac:dyDescent="0.3">
      <c r="C40" s="31"/>
      <c r="D40" s="31"/>
    </row>
    <row r="41" spans="3:4" x14ac:dyDescent="0.3">
      <c r="C41" s="31"/>
      <c r="D41" s="31"/>
    </row>
    <row r="42" spans="3:4" x14ac:dyDescent="0.3">
      <c r="C42" s="31"/>
      <c r="D42" s="31"/>
    </row>
    <row r="43" spans="3:4" x14ac:dyDescent="0.3">
      <c r="C43" s="31"/>
      <c r="D43" s="31"/>
    </row>
    <row r="44" spans="3:4" x14ac:dyDescent="0.3">
      <c r="C44" s="31"/>
      <c r="D44" s="31"/>
    </row>
    <row r="45" spans="3:4" x14ac:dyDescent="0.3">
      <c r="C45" s="31"/>
      <c r="D45" s="31"/>
    </row>
    <row r="46" spans="3:4" x14ac:dyDescent="0.3">
      <c r="C46" s="31"/>
      <c r="D46" s="31"/>
    </row>
    <row r="47" spans="3:4" x14ac:dyDescent="0.3">
      <c r="C47" s="31"/>
      <c r="D47" s="31"/>
    </row>
    <row r="48" spans="3:4" x14ac:dyDescent="0.3">
      <c r="C48" s="31"/>
      <c r="D48" s="31"/>
    </row>
    <row r="49" spans="3:4" x14ac:dyDescent="0.3">
      <c r="C49" s="31"/>
      <c r="D49" s="31"/>
    </row>
    <row r="50" spans="3:4" x14ac:dyDescent="0.3">
      <c r="C50" s="31"/>
      <c r="D50" s="31"/>
    </row>
    <row r="51" spans="3:4" x14ac:dyDescent="0.3">
      <c r="C51" s="31"/>
      <c r="D51" s="31"/>
    </row>
    <row r="52" spans="3:4" x14ac:dyDescent="0.3">
      <c r="C52" s="31"/>
      <c r="D52" s="31"/>
    </row>
    <row r="53" spans="3:4" x14ac:dyDescent="0.3">
      <c r="C53" s="31"/>
      <c r="D53" s="31"/>
    </row>
    <row r="54" spans="3:4" x14ac:dyDescent="0.3">
      <c r="C54" s="31"/>
      <c r="D54" s="31"/>
    </row>
    <row r="55" spans="3:4" x14ac:dyDescent="0.3">
      <c r="C55" s="31"/>
      <c r="D55" s="31"/>
    </row>
    <row r="56" spans="3:4" x14ac:dyDescent="0.3">
      <c r="C56" s="31"/>
      <c r="D56" s="31"/>
    </row>
    <row r="57" spans="3:4" x14ac:dyDescent="0.3">
      <c r="C57" s="31"/>
      <c r="D57" s="31"/>
    </row>
    <row r="58" spans="3:4" x14ac:dyDescent="0.3">
      <c r="C58" s="31"/>
      <c r="D58" s="31"/>
    </row>
    <row r="59" spans="3:4" x14ac:dyDescent="0.3">
      <c r="C59" s="31"/>
      <c r="D59" s="31"/>
    </row>
    <row r="60" spans="3:4" x14ac:dyDescent="0.3">
      <c r="C60" s="31"/>
      <c r="D60" s="31"/>
    </row>
    <row r="61" spans="3:4" x14ac:dyDescent="0.3">
      <c r="C61" s="31"/>
      <c r="D61" s="31"/>
    </row>
    <row r="62" spans="3:4" x14ac:dyDescent="0.3">
      <c r="C62" s="31"/>
      <c r="D62" s="31"/>
    </row>
    <row r="63" spans="3:4" x14ac:dyDescent="0.3">
      <c r="C63" s="31"/>
      <c r="D63" s="31"/>
    </row>
    <row r="64" spans="3:4" x14ac:dyDescent="0.3">
      <c r="C64" s="31"/>
      <c r="D64" s="31"/>
    </row>
    <row r="65" spans="3:4" x14ac:dyDescent="0.3">
      <c r="C65" s="31"/>
      <c r="D65" s="31"/>
    </row>
    <row r="66" spans="3:4" x14ac:dyDescent="0.3">
      <c r="C66" s="31"/>
      <c r="D66" s="31"/>
    </row>
    <row r="67" spans="3:4" x14ac:dyDescent="0.3">
      <c r="C67" s="31"/>
      <c r="D67" s="31"/>
    </row>
    <row r="68" spans="3:4" x14ac:dyDescent="0.3">
      <c r="C68" s="31"/>
      <c r="D68" s="31"/>
    </row>
    <row r="69" spans="3:4" x14ac:dyDescent="0.3">
      <c r="C69" s="31"/>
      <c r="D69" s="31"/>
    </row>
    <row r="70" spans="3:4" x14ac:dyDescent="0.3">
      <c r="C70" s="31"/>
      <c r="D70" s="31"/>
    </row>
    <row r="71" spans="3:4" x14ac:dyDescent="0.3">
      <c r="C71" s="31"/>
      <c r="D71" s="31"/>
    </row>
    <row r="72" spans="3:4" x14ac:dyDescent="0.3">
      <c r="C72" s="31"/>
      <c r="D72" s="31"/>
    </row>
    <row r="73" spans="3:4" x14ac:dyDescent="0.3">
      <c r="C73" s="31"/>
      <c r="D73" s="31"/>
    </row>
    <row r="74" spans="3:4" x14ac:dyDescent="0.3">
      <c r="C74" s="31"/>
      <c r="D74" s="31"/>
    </row>
    <row r="75" spans="3:4" x14ac:dyDescent="0.3">
      <c r="C75" s="31"/>
      <c r="D75" s="31"/>
    </row>
    <row r="76" spans="3:4" x14ac:dyDescent="0.3">
      <c r="C76" s="31"/>
      <c r="D76" s="31"/>
    </row>
    <row r="77" spans="3:4" x14ac:dyDescent="0.3">
      <c r="C77" s="31"/>
      <c r="D77" s="31"/>
    </row>
    <row r="78" spans="3:4" x14ac:dyDescent="0.3">
      <c r="C78" s="31"/>
      <c r="D78" s="31"/>
    </row>
    <row r="79" spans="3:4" x14ac:dyDescent="0.3">
      <c r="C79" s="31"/>
      <c r="D79" s="31"/>
    </row>
    <row r="80" spans="3:4" x14ac:dyDescent="0.3">
      <c r="C80" s="31"/>
      <c r="D80" s="31"/>
    </row>
    <row r="81" spans="3:4" x14ac:dyDescent="0.3">
      <c r="C81" s="31"/>
      <c r="D81" s="31"/>
    </row>
    <row r="82" spans="3:4" x14ac:dyDescent="0.3">
      <c r="C82" s="31"/>
      <c r="D82" s="31"/>
    </row>
    <row r="83" spans="3:4" x14ac:dyDescent="0.3">
      <c r="C83" s="31"/>
      <c r="D83" s="31"/>
    </row>
    <row r="84" spans="3:4" x14ac:dyDescent="0.3">
      <c r="C84" s="31"/>
      <c r="D84" s="31"/>
    </row>
    <row r="85" spans="3:4" x14ac:dyDescent="0.3">
      <c r="C85" s="31"/>
      <c r="D85" s="31"/>
    </row>
    <row r="86" spans="3:4" x14ac:dyDescent="0.3">
      <c r="C86" s="31"/>
      <c r="D86" s="31"/>
    </row>
    <row r="87" spans="3:4" x14ac:dyDescent="0.3">
      <c r="C87" s="31"/>
      <c r="D87" s="31"/>
    </row>
    <row r="88" spans="3:4" x14ac:dyDescent="0.3">
      <c r="C88" s="31"/>
      <c r="D88" s="31"/>
    </row>
    <row r="89" spans="3:4" x14ac:dyDescent="0.3">
      <c r="C89" s="31"/>
      <c r="D89" s="31"/>
    </row>
    <row r="90" spans="3:4" x14ac:dyDescent="0.3">
      <c r="C90" s="31"/>
      <c r="D90" s="31"/>
    </row>
    <row r="91" spans="3:4" x14ac:dyDescent="0.3">
      <c r="C91" s="31"/>
      <c r="D91" s="31"/>
    </row>
    <row r="92" spans="3:4" x14ac:dyDescent="0.3">
      <c r="C92" s="31"/>
      <c r="D92" s="31"/>
    </row>
    <row r="93" spans="3:4" x14ac:dyDescent="0.3">
      <c r="C93" s="31"/>
      <c r="D93" s="31"/>
    </row>
    <row r="94" spans="3:4" x14ac:dyDescent="0.3">
      <c r="C94" s="31"/>
      <c r="D94" s="31"/>
    </row>
    <row r="95" spans="3:4" x14ac:dyDescent="0.3">
      <c r="C95" s="31"/>
      <c r="D95" s="31"/>
    </row>
    <row r="96" spans="3:4" x14ac:dyDescent="0.3">
      <c r="C96" s="31"/>
      <c r="D96" s="31"/>
    </row>
    <row r="97" spans="3:4" x14ac:dyDescent="0.3">
      <c r="C97" s="31"/>
      <c r="D97" s="31"/>
    </row>
    <row r="98" spans="3:4" x14ac:dyDescent="0.3">
      <c r="C98" s="31"/>
      <c r="D98" s="31"/>
    </row>
    <row r="99" spans="3:4" x14ac:dyDescent="0.3">
      <c r="C99" s="31"/>
      <c r="D99" s="31"/>
    </row>
    <row r="100" spans="3:4" x14ac:dyDescent="0.3">
      <c r="C100" s="31"/>
      <c r="D100" s="31"/>
    </row>
    <row r="101" spans="3:4" x14ac:dyDescent="0.3">
      <c r="C101" s="31"/>
      <c r="D101" s="31"/>
    </row>
    <row r="102" spans="3:4" x14ac:dyDescent="0.3">
      <c r="C102" s="31"/>
      <c r="D102" s="31"/>
    </row>
    <row r="103" spans="3:4" x14ac:dyDescent="0.3">
      <c r="C103" s="31"/>
      <c r="D103" s="31"/>
    </row>
    <row r="104" spans="3:4" x14ac:dyDescent="0.3">
      <c r="C104" s="31"/>
      <c r="D104" s="31"/>
    </row>
    <row r="105" spans="3:4" x14ac:dyDescent="0.3">
      <c r="C105" s="31"/>
      <c r="D105" s="31"/>
    </row>
    <row r="106" spans="3:4" x14ac:dyDescent="0.3">
      <c r="C106" s="31"/>
      <c r="D106" s="31"/>
    </row>
    <row r="107" spans="3:4" x14ac:dyDescent="0.3">
      <c r="C107" s="31"/>
      <c r="D107" s="31"/>
    </row>
    <row r="108" spans="3:4" x14ac:dyDescent="0.3">
      <c r="C108" s="31"/>
      <c r="D108" s="31"/>
    </row>
    <row r="109" spans="3:4" x14ac:dyDescent="0.3">
      <c r="C109" s="31"/>
      <c r="D109" s="31"/>
    </row>
    <row r="110" spans="3:4" x14ac:dyDescent="0.3">
      <c r="C110" s="31"/>
      <c r="D110" s="31"/>
    </row>
    <row r="111" spans="3:4" x14ac:dyDescent="0.3">
      <c r="C111" s="31"/>
      <c r="D111" s="31"/>
    </row>
    <row r="112" spans="3:4" x14ac:dyDescent="0.3">
      <c r="C112" s="31"/>
      <c r="D112" s="31"/>
    </row>
    <row r="113" spans="3:4" x14ac:dyDescent="0.3">
      <c r="C113" s="31"/>
      <c r="D113" s="31"/>
    </row>
    <row r="114" spans="3:4" x14ac:dyDescent="0.3">
      <c r="C114" s="31"/>
      <c r="D114" s="31"/>
    </row>
    <row r="115" spans="3:4" x14ac:dyDescent="0.3">
      <c r="C115" s="31"/>
      <c r="D115" s="31"/>
    </row>
    <row r="116" spans="3:4" x14ac:dyDescent="0.3">
      <c r="C116" s="31"/>
      <c r="D116" s="31"/>
    </row>
    <row r="117" spans="3:4" x14ac:dyDescent="0.3">
      <c r="C117" s="31"/>
      <c r="D117" s="31"/>
    </row>
    <row r="118" spans="3:4" x14ac:dyDescent="0.3">
      <c r="C118" s="31"/>
      <c r="D118" s="31"/>
    </row>
    <row r="119" spans="3:4" x14ac:dyDescent="0.3">
      <c r="C119" s="31"/>
      <c r="D119" s="31"/>
    </row>
    <row r="120" spans="3:4" x14ac:dyDescent="0.3">
      <c r="C120" s="31"/>
      <c r="D120" s="31"/>
    </row>
    <row r="121" spans="3:4" x14ac:dyDescent="0.3">
      <c r="C121" s="31"/>
      <c r="D121" s="31"/>
    </row>
    <row r="122" spans="3:4" x14ac:dyDescent="0.3">
      <c r="C122" s="31"/>
      <c r="D122" s="31"/>
    </row>
    <row r="123" spans="3:4" x14ac:dyDescent="0.3">
      <c r="C123" s="31"/>
      <c r="D123" s="31"/>
    </row>
    <row r="124" spans="3:4" x14ac:dyDescent="0.3">
      <c r="C124" s="31"/>
      <c r="D124" s="31"/>
    </row>
    <row r="125" spans="3:4" x14ac:dyDescent="0.3">
      <c r="C125" s="31"/>
      <c r="D125" s="31"/>
    </row>
    <row r="126" spans="3:4" x14ac:dyDescent="0.3">
      <c r="C126" s="31"/>
      <c r="D126" s="31"/>
    </row>
    <row r="127" spans="3:4" x14ac:dyDescent="0.3">
      <c r="C127" s="31"/>
      <c r="D127" s="31"/>
    </row>
    <row r="128" spans="3:4" x14ac:dyDescent="0.3">
      <c r="C128" s="31"/>
      <c r="D128" s="31"/>
    </row>
    <row r="129" spans="3:4" x14ac:dyDescent="0.3">
      <c r="C129" s="31"/>
      <c r="D129" s="31"/>
    </row>
    <row r="130" spans="3:4" x14ac:dyDescent="0.3">
      <c r="C130" s="31"/>
      <c r="D130" s="31"/>
    </row>
    <row r="131" spans="3:4" x14ac:dyDescent="0.3">
      <c r="C131" s="31"/>
      <c r="D131" s="31"/>
    </row>
    <row r="132" spans="3:4" x14ac:dyDescent="0.3">
      <c r="C132" s="31"/>
      <c r="D132" s="31"/>
    </row>
    <row r="133" spans="3:4" x14ac:dyDescent="0.3">
      <c r="C133" s="31"/>
      <c r="D133" s="31"/>
    </row>
    <row r="134" spans="3:4" x14ac:dyDescent="0.3">
      <c r="C134" s="31"/>
      <c r="D134" s="31"/>
    </row>
    <row r="135" spans="3:4" x14ac:dyDescent="0.3">
      <c r="C135" s="31"/>
      <c r="D135" s="31"/>
    </row>
    <row r="136" spans="3:4" x14ac:dyDescent="0.3">
      <c r="C136" s="31"/>
      <c r="D136" s="31"/>
    </row>
    <row r="137" spans="3:4" x14ac:dyDescent="0.3">
      <c r="C137" s="31"/>
      <c r="D137" s="31"/>
    </row>
    <row r="138" spans="3:4" x14ac:dyDescent="0.3">
      <c r="C138" s="31"/>
      <c r="D138" s="31"/>
    </row>
    <row r="139" spans="3:4" x14ac:dyDescent="0.3">
      <c r="C139" s="31"/>
      <c r="D139" s="31"/>
    </row>
    <row r="140" spans="3:4" x14ac:dyDescent="0.3">
      <c r="C140" s="31"/>
      <c r="D140" s="31"/>
    </row>
    <row r="141" spans="3:4" x14ac:dyDescent="0.3">
      <c r="C141" s="31"/>
      <c r="D141" s="31"/>
    </row>
    <row r="142" spans="3:4" x14ac:dyDescent="0.3">
      <c r="C142" s="31"/>
      <c r="D142" s="31"/>
    </row>
    <row r="143" spans="3:4" x14ac:dyDescent="0.3">
      <c r="C143" s="31"/>
      <c r="D143" s="31"/>
    </row>
    <row r="144" spans="3:4" x14ac:dyDescent="0.3">
      <c r="C144" s="31"/>
      <c r="D144" s="31"/>
    </row>
    <row r="145" spans="3:4" x14ac:dyDescent="0.3">
      <c r="C145" s="31"/>
      <c r="D145" s="31"/>
    </row>
    <row r="146" spans="3:4" x14ac:dyDescent="0.3">
      <c r="C146" s="31"/>
      <c r="D146" s="31"/>
    </row>
    <row r="147" spans="3:4" x14ac:dyDescent="0.3">
      <c r="C147" s="31"/>
      <c r="D147" s="31"/>
    </row>
    <row r="148" spans="3:4" x14ac:dyDescent="0.3">
      <c r="C148" s="31"/>
      <c r="D148" s="31"/>
    </row>
    <row r="149" spans="3:4" x14ac:dyDescent="0.3">
      <c r="C149" s="31"/>
      <c r="D149" s="31"/>
    </row>
    <row r="150" spans="3:4" x14ac:dyDescent="0.3">
      <c r="C150" s="31"/>
      <c r="D150" s="31"/>
    </row>
    <row r="151" spans="3:4" x14ac:dyDescent="0.3">
      <c r="C151" s="31"/>
      <c r="D151" s="31"/>
    </row>
    <row r="152" spans="3:4" x14ac:dyDescent="0.3">
      <c r="C152" s="31"/>
      <c r="D152" s="31"/>
    </row>
    <row r="153" spans="3:4" x14ac:dyDescent="0.3">
      <c r="C153" s="31"/>
      <c r="D153" s="31"/>
    </row>
    <row r="154" spans="3:4" x14ac:dyDescent="0.3">
      <c r="C154" s="31"/>
      <c r="D154" s="31"/>
    </row>
    <row r="155" spans="3:4" x14ac:dyDescent="0.3">
      <c r="C155" s="31"/>
      <c r="D155" s="31"/>
    </row>
    <row r="156" spans="3:4" x14ac:dyDescent="0.3">
      <c r="C156" s="31"/>
      <c r="D156" s="31"/>
    </row>
    <row r="157" spans="3:4" x14ac:dyDescent="0.3">
      <c r="C157" s="31"/>
      <c r="D157" s="31"/>
    </row>
    <row r="158" spans="3:4" x14ac:dyDescent="0.3">
      <c r="C158" s="31"/>
      <c r="D158" s="31"/>
    </row>
    <row r="159" spans="3:4" x14ac:dyDescent="0.3">
      <c r="C159" s="31"/>
      <c r="D159" s="31"/>
    </row>
    <row r="160" spans="3:4" x14ac:dyDescent="0.3">
      <c r="C160" s="31"/>
      <c r="D160" s="31"/>
    </row>
    <row r="161" spans="3:4" x14ac:dyDescent="0.3">
      <c r="C161" s="31"/>
      <c r="D161" s="31"/>
    </row>
    <row r="162" spans="3:4" x14ac:dyDescent="0.3">
      <c r="C162" s="31"/>
      <c r="D162" s="31"/>
    </row>
    <row r="163" spans="3:4" x14ac:dyDescent="0.3">
      <c r="C163" s="31"/>
      <c r="D163" s="31"/>
    </row>
    <row r="164" spans="3:4" x14ac:dyDescent="0.3">
      <c r="C164" s="31"/>
      <c r="D164" s="31"/>
    </row>
    <row r="165" spans="3:4" x14ac:dyDescent="0.3">
      <c r="C165" s="31"/>
      <c r="D165" s="31"/>
    </row>
    <row r="166" spans="3:4" x14ac:dyDescent="0.3">
      <c r="C166" s="31"/>
      <c r="D166" s="31"/>
    </row>
    <row r="167" spans="3:4" x14ac:dyDescent="0.3">
      <c r="C167" s="31"/>
      <c r="D167" s="31"/>
    </row>
    <row r="168" spans="3:4" x14ac:dyDescent="0.3">
      <c r="C168" s="31"/>
      <c r="D168" s="31"/>
    </row>
    <row r="169" spans="3:4" x14ac:dyDescent="0.3">
      <c r="C169" s="31"/>
      <c r="D169" s="31"/>
    </row>
    <row r="170" spans="3:4" x14ac:dyDescent="0.3">
      <c r="C170" s="31"/>
      <c r="D170" s="31"/>
    </row>
    <row r="171" spans="3:4" x14ac:dyDescent="0.3">
      <c r="C171" s="31"/>
      <c r="D171" s="31"/>
    </row>
    <row r="172" spans="3:4" x14ac:dyDescent="0.3">
      <c r="C172" s="31"/>
      <c r="D172" s="31"/>
    </row>
    <row r="173" spans="3:4" x14ac:dyDescent="0.3">
      <c r="C173" s="31"/>
      <c r="D173" s="31"/>
    </row>
    <row r="174" spans="3:4" x14ac:dyDescent="0.3">
      <c r="C174" s="31"/>
      <c r="D174" s="31"/>
    </row>
    <row r="175" spans="3:4" x14ac:dyDescent="0.3">
      <c r="C175" s="31"/>
      <c r="D175" s="31"/>
    </row>
    <row r="176" spans="3:4" x14ac:dyDescent="0.3">
      <c r="C176" s="31"/>
      <c r="D176" s="31"/>
    </row>
    <row r="177" spans="3:4" x14ac:dyDescent="0.3">
      <c r="C177" s="31"/>
      <c r="D177" s="31"/>
    </row>
    <row r="178" spans="3:4" x14ac:dyDescent="0.3">
      <c r="C178" s="31"/>
      <c r="D178" s="31"/>
    </row>
    <row r="179" spans="3:4" x14ac:dyDescent="0.3">
      <c r="C179" s="31"/>
      <c r="D179" s="31"/>
    </row>
    <row r="180" spans="3:4" x14ac:dyDescent="0.3">
      <c r="C180" s="31"/>
      <c r="D180" s="31"/>
    </row>
    <row r="181" spans="3:4" x14ac:dyDescent="0.3">
      <c r="C181" s="31"/>
      <c r="D181" s="31"/>
    </row>
    <row r="182" spans="3:4" x14ac:dyDescent="0.3">
      <c r="C182" s="31"/>
      <c r="D182" s="31"/>
    </row>
    <row r="183" spans="3:4" x14ac:dyDescent="0.3">
      <c r="C183" s="31"/>
      <c r="D183" s="31"/>
    </row>
    <row r="184" spans="3:4" x14ac:dyDescent="0.3">
      <c r="C184" s="31"/>
      <c r="D184" s="31"/>
    </row>
    <row r="185" spans="3:4" x14ac:dyDescent="0.3">
      <c r="C185" s="31"/>
      <c r="D185" s="31"/>
    </row>
    <row r="186" spans="3:4" x14ac:dyDescent="0.3">
      <c r="C186" s="31"/>
      <c r="D186" s="31"/>
    </row>
    <row r="187" spans="3:4" x14ac:dyDescent="0.3">
      <c r="C187" s="31"/>
      <c r="D187" s="31"/>
    </row>
    <row r="188" spans="3:4" x14ac:dyDescent="0.3">
      <c r="C188" s="31"/>
      <c r="D188" s="31"/>
    </row>
    <row r="189" spans="3:4" x14ac:dyDescent="0.3">
      <c r="C189" s="31"/>
      <c r="D189" s="31"/>
    </row>
    <row r="190" spans="3:4" x14ac:dyDescent="0.3">
      <c r="C190" s="31"/>
      <c r="D190" s="31"/>
    </row>
    <row r="191" spans="3:4" x14ac:dyDescent="0.3">
      <c r="C191" s="31"/>
      <c r="D191" s="31"/>
    </row>
    <row r="192" spans="3:4" x14ac:dyDescent="0.3">
      <c r="C192" s="31"/>
      <c r="D192" s="31"/>
    </row>
    <row r="193" spans="3:4" x14ac:dyDescent="0.3">
      <c r="C193" s="31"/>
      <c r="D193" s="31"/>
    </row>
    <row r="194" spans="3:4" x14ac:dyDescent="0.3">
      <c r="C194" s="31"/>
      <c r="D194" s="31"/>
    </row>
    <row r="195" spans="3:4" x14ac:dyDescent="0.3">
      <c r="C195" s="31"/>
      <c r="D195" s="31"/>
    </row>
    <row r="196" spans="3:4" x14ac:dyDescent="0.3">
      <c r="C196" s="31"/>
      <c r="D196" s="31"/>
    </row>
    <row r="197" spans="3:4" x14ac:dyDescent="0.3">
      <c r="C197" s="31"/>
      <c r="D197" s="31"/>
    </row>
    <row r="198" spans="3:4" x14ac:dyDescent="0.3">
      <c r="C198" s="31"/>
      <c r="D198" s="31"/>
    </row>
    <row r="199" spans="3:4" x14ac:dyDescent="0.3">
      <c r="C199" s="31"/>
      <c r="D199" s="31"/>
    </row>
    <row r="200" spans="3:4" x14ac:dyDescent="0.3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2026-07-13T08:17:02Z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