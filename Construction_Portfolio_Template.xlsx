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2" documentId="13_ncr:1_{4D5E45EE-EAC0-4096-82D3-C82E547233F2}" xr6:coauthVersionLast="47" xr6:coauthVersionMax="47" xr10:uidLastSave="{B2113E06-71DE-414B-882B-9EFC72A2B594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<sst xmlns="http://schemas.openxmlformats.org/spreadsheetml/2006/main" count="196" uniqueCount="69">
  <si>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</si>
  <si>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</si>
  <si>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</si>
  <si>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</si>
  <si>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</si>
  <si>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</si>
  <si>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</si>
  <si>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</si>
  <si>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</si>
  <si>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</si>
  <si>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</si>
  <si>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</si>
  <si>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</si>
  <si>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</si>
  <si>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</si>
  <si>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</si>
  <si>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</si>
  <si>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</si>
  <si>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</si>
  <si>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</si>
  <si>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</si>
  <si>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</si>
  <si>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</si>
  <si>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</si>
  <si>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</si>
  <si>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</si>
  <si>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</si>
  <si>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</si>
  <si>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</si>
  <si>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</si>
  <si>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</si>
  <si>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</si>
  <si>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</si>
  <si>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</si>
  <si>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</si>
  <si>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</si>
  <si>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</si>
  <si>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</si>
  <si>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</si>
  <si>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</si>
  <si>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</si>
  <si>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</si>
  <si>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</si>
  <si>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</si>
  <si>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</si>
  <si>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</si>
  <si>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</si>
  <si>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</si>
  <si>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</si>
  <si>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</si>
  <si>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</si>
  <si>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</si>
  <si>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</si>
  <si>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</si>
  <si>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</si>
  <si>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</si>
  <si>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</si>
  <si>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โครงการล่าช้า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</si>
  <si>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</si>
  <si>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</si>
  <si>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</si>
  <si>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</si>
  <si>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</si>
  <si>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</si>
  <si>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</si>
  <si>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</si>
  <si>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</si>
  <si>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รอลูกค้าคอนเฟิมวันส่งงาน Frist fix 07/10/2026</t>
  </si>
  <si>
    <t>ส่งมอบงานวันเสาร์ ที่ 07/04/2026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</si>
</sst>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43" fontId="8" fillId="0" borderId="1" xfId="1" applyFont="1" applyBorder="1" applyAlignment="1">
      <alignment vertical="center"/>
    </xf>
    <xf numFmtId="43" fontId="9" fillId="0" borderId="0" xfId="1" applyFont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164" fontId="5" fillId="3" borderId="1" xfId="0" applyNumberFormat="1" applyFont="1" applyFill="1" applyBorder="1" applyAlignment="1">
      <alignment horizontal="center" vertical="center"/>
    </xf>
    <xf numFmtId="0" fontId="0" fillId="3" borderId="3" xfId="0" applyFill="1" applyBorder="1"/>
    <xf numFmtId="0" fontId="5" fillId="3" borderId="1" xfId="0" applyFont="1" applyFill="1" applyBorder="1" applyAlignment="1">
      <alignment horizontal="left" vertical="center" indent="1"/>
    </xf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17" activePane="bottomLeft" state="frozen"/>
      <selection pane="bottomLeft" activeCell="B39" sqref="B39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9" t="s">
        <v>0</v>
      </c>
      <c r="B1" s="28"/>
      <c r="C1" s="28"/>
      <c r="D1" s="28"/>
      <c r="E1" s="28"/>
      <c r="F1" s="28"/>
      <c r="G1" s="28"/>
      <c r="H1" s="28"/>
    </row>
    <row r="2" spans="1:8" x14ac:dyDescent="0.3">
      <c r="A2" s="27" t="s">
        <v>1</v>
      </c>
      <c r="B2" s="28"/>
      <c r="C2" s="28"/>
      <c r="D2" s="28"/>
      <c r="E2" s="28"/>
      <c r="F2" s="28"/>
      <c r="G2" s="28"/>
      <c r="H2" s="28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2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30">
        <v>46213</v>
      </c>
      <c r="H5" s="5"/>
    </row>
    <row r="6" spans="1:8" x14ac:dyDescent="0.3">
      <c r="A6" s="31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31"/>
      <c r="H6" s="5"/>
    </row>
    <row r="7" spans="1:8" x14ac:dyDescent="0.3">
      <c r="A7" s="32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30" t="s">
        <v>16</v>
      </c>
      <c r="H7" s="5"/>
    </row>
    <row r="8" spans="1:8" x14ac:dyDescent="0.3">
      <c r="A8" s="31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31"/>
      <c r="H8" s="5"/>
    </row>
    <row r="9" spans="1:8" x14ac:dyDescent="0.3">
      <c r="A9" s="32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30">
        <v>46204</v>
      </c>
      <c r="H9" s="5"/>
    </row>
    <row r="10" spans="1:8" x14ac:dyDescent="0.3">
      <c r="A10" s="31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31"/>
      <c r="H10" s="5"/>
    </row>
    <row r="11" spans="1:8" x14ac:dyDescent="0.3">
      <c r="A11" s="32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30">
        <v>46171</v>
      </c>
      <c r="H11" s="5"/>
    </row>
    <row r="12" spans="1:8" x14ac:dyDescent="0.3">
      <c r="A12" s="31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31"/>
      <c r="H12" s="5"/>
    </row>
    <row r="13" spans="1:8" x14ac:dyDescent="0.3">
      <c r="A13" s="32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30" t="s">
        <v>16</v>
      </c>
      <c r="H13" s="5"/>
    </row>
    <row r="14" spans="1:8" x14ac:dyDescent="0.3">
      <c r="A14" s="31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31"/>
      <c r="H14" s="5"/>
    </row>
    <row r="15" spans="1:8" x14ac:dyDescent="0.3">
      <c r="A15" s="32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30">
        <v>46199</v>
      </c>
      <c r="H15" s="5"/>
    </row>
    <row r="16" spans="1:8" x14ac:dyDescent="0.3">
      <c r="A16" s="31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31"/>
      <c r="H16" s="5"/>
    </row>
    <row r="17" spans="1:8" x14ac:dyDescent="0.3">
      <c r="A17" s="32" t="s">
        <v>21</v>
      </c>
      <c r="B17" s="5" t="s">
        <v>11</v>
      </c>
      <c r="C17" s="6">
        <v>46188</v>
      </c>
      <c r="D17" s="6">
        <v>46198</v>
      </c>
      <c r="E17" s="7">
        <v>1</v>
      </c>
      <c r="F17" s="5" t="s">
        <v>12</v>
      </c>
      <c r="G17" s="30">
        <v>46305</v>
      </c>
      <c r="H17" s="5"/>
    </row>
    <row r="18" spans="1:8" x14ac:dyDescent="0.3">
      <c r="A18" s="31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31"/>
      <c r="H18" s="5"/>
    </row>
    <row r="19" spans="1:8" x14ac:dyDescent="0.3">
      <c r="A19" s="32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30">
        <v>46336</v>
      </c>
      <c r="H19" s="5"/>
    </row>
    <row r="20" spans="1:8" x14ac:dyDescent="0.3">
      <c r="A20" s="31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31"/>
      <c r="H20" s="5"/>
    </row>
    <row r="21" spans="1:8" x14ac:dyDescent="0.3">
      <c r="A21" s="32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30">
        <v>46336</v>
      </c>
    </row>
    <row r="22" spans="1:8" x14ac:dyDescent="0.3">
      <c r="A22" s="31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31"/>
    </row>
    <row r="23" spans="1:8" x14ac:dyDescent="0.3">
      <c r="A23" s="32" t="s">
        <v>25</v>
      </c>
      <c r="B23" s="5" t="s">
        <v>11</v>
      </c>
      <c r="C23" s="6">
        <v>46190</v>
      </c>
      <c r="D23" s="6">
        <v>46206</v>
      </c>
      <c r="E23" s="7">
        <v>0.5</v>
      </c>
      <c r="F23" s="5" t="s">
        <v>22</v>
      </c>
      <c r="G23" s="30">
        <v>46218</v>
      </c>
    </row>
    <row r="24" spans="1:8" x14ac:dyDescent="0.3">
      <c r="A24" s="31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31"/>
    </row>
    <row r="25" spans="1:8" x14ac:dyDescent="0.3">
      <c r="A25" s="32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30">
        <v>46188</v>
      </c>
    </row>
    <row r="26" spans="1:8" x14ac:dyDescent="0.3">
      <c r="A26" s="31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31"/>
    </row>
    <row r="27" spans="1:8" x14ac:dyDescent="0.3">
      <c r="A27" s="32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30">
        <v>46321</v>
      </c>
    </row>
    <row r="28" spans="1:8" x14ac:dyDescent="0.3">
      <c r="A28" s="31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31"/>
    </row>
    <row r="29" spans="1:8" x14ac:dyDescent="0.3">
      <c r="A29" s="32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30">
        <v>46139</v>
      </c>
    </row>
    <row r="30" spans="1:8" x14ac:dyDescent="0.3">
      <c r="A30" s="31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31"/>
    </row>
    <row r="31" spans="1:8" x14ac:dyDescent="0.3">
      <c r="A31" s="32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30">
        <v>46133</v>
      </c>
    </row>
    <row r="32" spans="1:8" x14ac:dyDescent="0.3">
      <c r="A32" s="31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31"/>
    </row>
    <row r="33" spans="1:7" x14ac:dyDescent="0.3">
      <c r="A33" s="32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30">
        <v>46295</v>
      </c>
    </row>
    <row r="34" spans="1:7" x14ac:dyDescent="0.3">
      <c r="A34" s="31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31"/>
    </row>
    <row r="35" spans="1:7" x14ac:dyDescent="0.3">
      <c r="A35" s="32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30">
        <v>45737</v>
      </c>
    </row>
    <row r="36" spans="1:7" x14ac:dyDescent="0.3">
      <c r="A36" s="31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31"/>
    </row>
    <row r="37" spans="1:7" x14ac:dyDescent="0.3">
      <c r="A37" s="32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30">
        <v>45737</v>
      </c>
    </row>
    <row r="38" spans="1:7" x14ac:dyDescent="0.3">
      <c r="A38" s="31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31"/>
    </row>
  </sheetData>
  <mergeCells count="36"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  <mergeCell ref="A21:A22"/>
    <mergeCell ref="G21:G22"/>
    <mergeCell ref="A9:A10"/>
    <mergeCell ref="A13:A14"/>
    <mergeCell ref="A35:A36"/>
    <mergeCell ref="G35:G36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topLeftCell="A4" workbookViewId="0">
      <pane xSplit="1" topLeftCell="B1" activePane="topRight" state="frozen"/>
      <selection pane="topRight" activeCell="D20" sqref="D20"/>
    </sheetView>
  </sheetViews>
  <sheetFormatPr defaultRowHeight="14.4" x14ac:dyDescent="0.3"/>
  <cols>
    <col min="1" max="1" width="37.3320312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9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spans="1:19" x14ac:dyDescent="0.3">
      <c r="A2" s="27" t="s">
        <v>34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4" spans="1:19" ht="41.4" x14ac:dyDescent="0.3">
      <c r="A4" s="1" t="s">
        <v>2</v>
      </c>
      <c r="B4" s="1" t="s">
        <v>7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</v>
      </c>
      <c r="Q4" s="1" t="s">
        <v>5</v>
      </c>
      <c r="R4" s="1" t="s">
        <v>48</v>
      </c>
      <c r="S4" s="1" t="s">
        <v>9</v>
      </c>
    </row>
    <row r="5" spans="1:19" s="19" customFormat="1" ht="18.600000000000001" x14ac:dyDescent="0.55000000000000004">
      <c r="A5" s="9" t="s">
        <v>10</v>
      </c>
      <c r="B5" s="9" t="s">
        <v>22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49</v>
      </c>
      <c r="O5" s="24">
        <v>130000</v>
      </c>
      <c r="P5" s="13">
        <f>'[1]Master Schedule'!C5</f>
        <v>46084</v>
      </c>
      <c r="Q5" s="13">
        <v>46106</v>
      </c>
      <c r="R5" s="9"/>
      <c r="S5" s="9" t="s">
        <v>50</v>
      </c>
    </row>
    <row r="6" spans="1:19" s="19" customFormat="1" ht="18.600000000000001" x14ac:dyDescent="0.55000000000000004">
      <c r="A6" s="9" t="s">
        <v>14</v>
      </c>
      <c r="B6" s="9" t="s">
        <v>15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49</v>
      </c>
      <c r="O6" s="24">
        <v>139446</v>
      </c>
      <c r="P6" s="13">
        <f>'[1]Master Schedule'!C6</f>
        <v>46189</v>
      </c>
      <c r="Q6" s="13">
        <v>46264</v>
      </c>
      <c r="R6" s="9"/>
      <c r="S6" s="9" t="s">
        <v>51</v>
      </c>
    </row>
    <row r="7" spans="1:19" s="19" customFormat="1" ht="18.600000000000001" x14ac:dyDescent="0.55000000000000004">
      <c r="A7" s="9" t="s">
        <v>17</v>
      </c>
      <c r="B7" s="9" t="s">
        <v>22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49</v>
      </c>
      <c r="O7" s="24">
        <v>280000</v>
      </c>
      <c r="P7" s="13">
        <f>'[1]Master Schedule'!C7</f>
        <v>46219</v>
      </c>
      <c r="Q7" s="13">
        <v>46102</v>
      </c>
      <c r="R7" s="9"/>
      <c r="S7" s="9" t="s">
        <v>52</v>
      </c>
    </row>
    <row r="8" spans="1:19" s="19" customFormat="1" ht="18.600000000000001" x14ac:dyDescent="0.55000000000000004">
      <c r="A8" s="9" t="s">
        <v>18</v>
      </c>
      <c r="B8" s="9" t="s">
        <v>12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53</v>
      </c>
      <c r="O8" s="24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19</v>
      </c>
      <c r="B9" s="9" t="s">
        <v>15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24" t="s">
        <v>16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20</v>
      </c>
      <c r="B10" s="9" t="s">
        <v>22</v>
      </c>
      <c r="C10" s="10">
        <v>0.9</v>
      </c>
      <c r="D10" s="11">
        <v>338450.2</v>
      </c>
      <c r="E10" s="11">
        <f>O10*0.8</f>
        <v>110400</v>
      </c>
      <c r="F10" s="11">
        <v>370</v>
      </c>
      <c r="G10" s="11">
        <f>D10*0.4</f>
        <v>135380.08000000002</v>
      </c>
      <c r="H10" s="12">
        <v>10</v>
      </c>
      <c r="I10" s="12"/>
      <c r="J10" s="9"/>
      <c r="K10" s="11">
        <v>5783</v>
      </c>
      <c r="L10" s="11"/>
      <c r="M10" s="11">
        <v>787</v>
      </c>
      <c r="N10" s="9" t="s">
        <v>53</v>
      </c>
      <c r="O10" s="24">
        <v>138000</v>
      </c>
      <c r="P10" s="13">
        <f>'[1]Master Schedule'!C10</f>
        <v>46168</v>
      </c>
      <c r="Q10" s="13">
        <v>46199</v>
      </c>
      <c r="R10" s="9"/>
      <c r="S10" s="26" t="s">
        <v>68</v>
      </c>
    </row>
    <row r="11" spans="1:19" s="19" customFormat="1" ht="18.600000000000001" x14ac:dyDescent="0.55000000000000004">
      <c r="A11" s="19" t="s">
        <v>21</v>
      </c>
      <c r="B11" s="9" t="s">
        <v>22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J11" s="9"/>
      <c r="K11" s="11">
        <v>26094</v>
      </c>
      <c r="L11" s="11"/>
      <c r="M11" s="11">
        <v>46175</v>
      </c>
      <c r="N11" s="19" t="s">
        <v>54</v>
      </c>
      <c r="O11" s="24">
        <v>280000</v>
      </c>
      <c r="P11" s="13">
        <f>'[1]Master Schedule'!C11</f>
        <v>46184</v>
      </c>
      <c r="Q11" s="13">
        <v>46305</v>
      </c>
      <c r="R11" s="9"/>
      <c r="S11" s="26" t="s">
        <v>66</v>
      </c>
    </row>
    <row r="12" spans="1:19" s="19" customFormat="1" ht="18.600000000000001" x14ac:dyDescent="0.55000000000000004">
      <c r="A12" s="19" t="s">
        <v>23</v>
      </c>
      <c r="B12" s="9" t="s">
        <v>15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55</v>
      </c>
      <c r="O12" s="24">
        <v>233247.9</v>
      </c>
      <c r="P12" s="13">
        <f>'[1]Master Schedule'!C12</f>
        <v>46200</v>
      </c>
      <c r="Q12" s="13">
        <v>46336</v>
      </c>
      <c r="R12" s="9"/>
      <c r="S12" s="9" t="s">
        <v>51</v>
      </c>
    </row>
    <row r="13" spans="1:19" s="19" customFormat="1" ht="18.600000000000001" x14ac:dyDescent="0.55000000000000004">
      <c r="A13" s="19" t="s">
        <v>24</v>
      </c>
      <c r="B13" s="9" t="s">
        <v>15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49</v>
      </c>
      <c r="O13" s="25">
        <v>120000</v>
      </c>
      <c r="P13" s="13">
        <f>'[1]Master Schedule'!C13</f>
        <v>46392</v>
      </c>
      <c r="Q13" s="20">
        <v>46336</v>
      </c>
      <c r="S13" s="9" t="s">
        <v>51</v>
      </c>
    </row>
    <row r="14" spans="1:19" s="19" customFormat="1" ht="18.600000000000001" x14ac:dyDescent="0.55000000000000004">
      <c r="A14" s="19" t="s">
        <v>25</v>
      </c>
      <c r="B14" s="9" t="s">
        <v>22</v>
      </c>
      <c r="C14" s="10">
        <v>0.5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55</v>
      </c>
      <c r="O14" s="25">
        <v>656679.03</v>
      </c>
      <c r="P14" s="13">
        <f>'[1]Master Schedule'!C14</f>
        <v>46042</v>
      </c>
      <c r="Q14" s="20">
        <v>46218</v>
      </c>
      <c r="S14" s="26" t="s">
        <v>67</v>
      </c>
    </row>
    <row r="15" spans="1:19" s="19" customFormat="1" ht="18.600000000000001" x14ac:dyDescent="0.55000000000000004">
      <c r="A15" s="19" t="s">
        <v>26</v>
      </c>
      <c r="B15" s="9" t="s">
        <v>12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54</v>
      </c>
      <c r="O15" s="25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27</v>
      </c>
      <c r="B16" s="9" t="s">
        <v>22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56</v>
      </c>
      <c r="O16" s="25">
        <v>430000</v>
      </c>
      <c r="P16" s="13">
        <f>'[1]Master Schedule'!C16</f>
        <v>46198</v>
      </c>
      <c r="Q16" s="20">
        <v>46321</v>
      </c>
      <c r="S16" s="9" t="s">
        <v>51</v>
      </c>
    </row>
    <row r="17" spans="1:19" s="19" customFormat="1" ht="18.600000000000001" x14ac:dyDescent="0.55000000000000004">
      <c r="A17" s="19" t="s">
        <v>28</v>
      </c>
      <c r="B17" s="9" t="s">
        <v>12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54</v>
      </c>
      <c r="O17" s="25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29</v>
      </c>
      <c r="B18" s="9" t="s">
        <v>12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53</v>
      </c>
      <c r="O18" s="25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30</v>
      </c>
      <c r="B19" s="9" t="s">
        <v>22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53</v>
      </c>
      <c r="O19" s="25"/>
      <c r="P19" s="13">
        <f>'Master Schedule'!C33</f>
        <v>46091</v>
      </c>
      <c r="Q19" s="20">
        <v>46295</v>
      </c>
      <c r="S19" s="9" t="s">
        <v>51</v>
      </c>
    </row>
    <row r="20" spans="1:19" s="19" customFormat="1" ht="18.600000000000001" x14ac:dyDescent="0.55000000000000004">
      <c r="A20" s="19" t="s">
        <v>31</v>
      </c>
      <c r="B20" s="21" t="s">
        <v>22</v>
      </c>
      <c r="C20" s="10">
        <v>0.9</v>
      </c>
      <c r="D20" s="18"/>
      <c r="E20" s="22"/>
      <c r="F20" s="17">
        <v>255</v>
      </c>
      <c r="G20" s="23"/>
      <c r="H20" s="19">
        <v>3</v>
      </c>
      <c r="K20" s="19">
        <v>0</v>
      </c>
      <c r="M20" s="19">
        <v>0</v>
      </c>
      <c r="O20" s="25"/>
      <c r="P20" s="13">
        <v>45717</v>
      </c>
      <c r="Q20" s="13">
        <v>45737</v>
      </c>
      <c r="S20" s="9" t="s">
        <v>57</v>
      </c>
    </row>
    <row r="21" spans="1:19" s="19" customFormat="1" ht="18.600000000000001" x14ac:dyDescent="0.55000000000000004">
      <c r="A21" s="19" t="s">
        <v>32</v>
      </c>
      <c r="B21" s="21" t="s">
        <v>22</v>
      </c>
      <c r="C21" s="10">
        <v>0.9</v>
      </c>
      <c r="D21" s="17"/>
      <c r="E21" s="22"/>
      <c r="H21" s="19">
        <v>3</v>
      </c>
      <c r="K21" s="19">
        <v>0</v>
      </c>
      <c r="M21" s="19">
        <v>0</v>
      </c>
      <c r="O21" s="25"/>
      <c r="P21" s="13">
        <v>45717</v>
      </c>
      <c r="Q21" s="13">
        <v>45737</v>
      </c>
      <c r="S21" s="9" t="s">
        <v>57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K15" sqref="K15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9" t="s">
        <v>58</v>
      </c>
      <c r="B1" s="28"/>
      <c r="C1" s="28"/>
    </row>
    <row r="2" spans="1:3" x14ac:dyDescent="0.3">
      <c r="A2" s="27" t="s">
        <v>59</v>
      </c>
      <c r="B2" s="28"/>
      <c r="C2" s="28"/>
    </row>
    <row r="4" spans="1:3" x14ac:dyDescent="0.3">
      <c r="A4" s="1" t="s">
        <v>60</v>
      </c>
      <c r="B4" s="1" t="s">
        <v>61</v>
      </c>
      <c r="C4" s="1" t="s">
        <v>62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63</v>
      </c>
      <c r="C7" s="8">
        <v>4</v>
      </c>
    </row>
    <row r="8" spans="1:3" x14ac:dyDescent="0.3">
      <c r="A8" s="6">
        <v>46189</v>
      </c>
      <c r="B8" s="5" t="s">
        <v>63</v>
      </c>
      <c r="C8" s="8">
        <v>4</v>
      </c>
    </row>
    <row r="9" spans="1:3" x14ac:dyDescent="0.3">
      <c r="A9" s="6">
        <v>46183</v>
      </c>
      <c r="B9" s="5" t="s">
        <v>64</v>
      </c>
      <c r="C9" s="8">
        <v>3</v>
      </c>
    </row>
    <row r="10" spans="1:3" x14ac:dyDescent="0.3">
      <c r="A10" s="6">
        <v>46185</v>
      </c>
      <c r="B10" s="5" t="s">
        <v>65</v>
      </c>
      <c r="C10" s="8">
        <v>2.5</v>
      </c>
    </row>
    <row r="11" spans="1:3" x14ac:dyDescent="0.3">
      <c r="A11" s="6">
        <v>46190</v>
      </c>
      <c r="B11" s="5" t="s">
        <v>63</v>
      </c>
      <c r="C11" s="8">
        <v>3</v>
      </c>
    </row>
    <row r="12" spans="1:3" x14ac:dyDescent="0.3">
      <c r="A12" s="6">
        <v>46190</v>
      </c>
      <c r="B12" s="5" t="s">
        <v>65</v>
      </c>
      <c r="C12" s="8">
        <v>3</v>
      </c>
    </row>
    <row r="13" spans="1:3" x14ac:dyDescent="0.3">
      <c r="A13" s="6">
        <v>46192</v>
      </c>
      <c r="B13" s="5" t="s">
        <v>63</v>
      </c>
      <c r="C13" s="8">
        <v>3</v>
      </c>
    </row>
    <row r="14" spans="1:3" x14ac:dyDescent="0.3">
      <c r="A14" s="6">
        <v>46197</v>
      </c>
      <c r="B14" s="5" t="s">
        <v>65</v>
      </c>
      <c r="C14" s="8">
        <v>3</v>
      </c>
    </row>
    <row r="15" spans="1:3" x14ac:dyDescent="0.3">
      <c r="A15" s="3">
        <v>46198</v>
      </c>
      <c r="B15" s="5" t="s">
        <v>63</v>
      </c>
      <c r="C15" s="4">
        <v>6</v>
      </c>
    </row>
    <row r="16" spans="1:3" x14ac:dyDescent="0.3">
      <c r="A16" s="3">
        <v>46202</v>
      </c>
      <c r="B16" s="5" t="s">
        <v>63</v>
      </c>
      <c r="C16" s="4">
        <v>6</v>
      </c>
    </row>
    <row r="17" spans="1:3" x14ac:dyDescent="0.3">
      <c r="A17" s="3">
        <v>46205</v>
      </c>
      <c r="B17" s="5" t="s">
        <v>63</v>
      </c>
      <c r="C17" s="4">
        <v>4</v>
      </c>
    </row>
    <row r="18" spans="1:3" x14ac:dyDescent="0.3">
      <c r="A18" s="3">
        <v>46206</v>
      </c>
      <c r="B18" s="5" t="s">
        <v>63</v>
      </c>
      <c r="C18" s="4">
        <v>4</v>
      </c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2026-07-03T07:46:46Z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