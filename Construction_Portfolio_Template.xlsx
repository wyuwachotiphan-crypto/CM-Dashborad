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VICTUS\OneDrive - Coral Life\Coral Life - BA - Solution Design 1\1_Non-Project\7_Engineer\IAQ Solution\0_ERV Management\2_Construction Management\Dashboard\"/>
    </mc:Choice>
  </mc:AlternateContent>
  <xr:revisionPtr revIDLastSave="0" documentId="13_ncr:1_{0CEBE545-894A-44A9-891E-5BB094C4C6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Schedule" sheetId="1" r:id="rId1"/>
    <sheet name="Summary Report" sheetId="2" r:id="rId2"/>
    <sheet name="Site Visit Log" sheetId="3" r:id="rId3"/>
    <sheet name="Internal Work" sheetId="4" r:id="rId4"/>
  </sheets>
  <externalReferences>
    <externalReference r:id="rId5"/>
  </externalReferences>
  <definedNames>
    <definedName name="_xlnm._FilterDatabase" localSheetId="3" hidden="1">'Internal Work'!$A$4:$E$200</definedName>
    <definedName name="_xlnm._FilterDatabase" localSheetId="0" hidden="1">'Master Schedule'!$A$4:$K$44</definedName>
    <definedName name="_xlnm._FilterDatabase" localSheetId="2" hidden="1">'Site Visit Log'!$A$4:$E$30</definedName>
    <definedName name="_xlnm._FilterDatabase" localSheetId="1" hidden="1">'Summary Report'!$A$4:$V$189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G14" i="2"/>
  <c r="H25" i="2"/>
  <c r="F11" i="2"/>
  <c r="F10" i="2"/>
  <c r="H11" i="2"/>
  <c r="H5" i="2"/>
  <c r="H7" i="2"/>
  <c r="G24" i="2"/>
  <c r="F14" i="2"/>
  <c r="H14" i="2"/>
  <c r="H24" i="2"/>
  <c r="H23" i="2"/>
  <c r="F5" i="2"/>
  <c r="F19" i="2"/>
  <c r="H10" i="2"/>
  <c r="H19" i="2"/>
  <c r="H18" i="2"/>
  <c r="Q19" i="2"/>
  <c r="Q6" i="2"/>
  <c r="F18" i="2"/>
  <c r="H17" i="2"/>
  <c r="F17" i="2"/>
  <c r="Q16" i="2"/>
  <c r="H16" i="2"/>
  <c r="F16" i="2"/>
  <c r="Q15" i="2"/>
  <c r="H15" i="2"/>
  <c r="F15" i="2"/>
  <c r="H13" i="2"/>
  <c r="F13" i="2"/>
  <c r="Q12" i="2"/>
  <c r="H12" i="2"/>
  <c r="F12" i="2"/>
  <c r="Q11" i="2"/>
  <c r="Q10" i="2"/>
  <c r="H9" i="2"/>
  <c r="F9" i="2"/>
  <c r="H8" i="2"/>
  <c r="F8" i="2"/>
  <c r="F7" i="2"/>
  <c r="H6" i="2"/>
  <c r="F6" i="2"/>
  <c r="Q5" i="2"/>
</calcChain>
</file>

<file path=xl/sharedStrings.xml><?xml version="1.0" encoding="utf-8"?>
<sst xmlns="http://schemas.openxmlformats.org/spreadsheetml/2006/main" count="346" uniqueCount="144">
  <si>
    <t>MASTER SCHEDULE</t>
  </si>
  <si>
    <t>One project = 2 sub-rows: Row 1 = Construction Period 1, Row 2 = Construction Period 2 — the Project Name and Delivery Date in columns A and G are merged as group headers for each project</t>
  </si>
  <si>
    <t>Project Name</t>
  </si>
  <si>
    <t>Phase</t>
  </si>
  <si>
    <t>Start Date</t>
  </si>
  <si>
    <t>End Date</t>
  </si>
  <si>
    <t>% Complete</t>
  </si>
  <si>
    <t>Status</t>
  </si>
  <si>
    <t>Delivery Date</t>
  </si>
  <si>
    <t>Remarks</t>
  </si>
  <si>
    <t>Sukhumvit 77 Prawet Residence</t>
  </si>
  <si>
    <t>Frist Fix</t>
  </si>
  <si>
    <t>Completed</t>
  </si>
  <si>
    <t>Second Fix</t>
  </si>
  <si>
    <t>หมู่บ้านมัณฑนา</t>
  </si>
  <si>
    <t>On Hold</t>
  </si>
  <si>
    <t>-</t>
  </si>
  <si>
    <t>สำนักงานบริษัท เอส.บี.-ซีร่า จำกัดพระราม2</t>
  </si>
  <si>
    <t>Ventier courtyard ชั้น 3</t>
  </si>
  <si>
    <t>บ้านคุณยู้เขาใหญ่</t>
  </si>
  <si>
    <t>บ้านคุณอิสระ</t>
  </si>
  <si>
    <t>S’rin House</t>
  </si>
  <si>
    <t>Construction</t>
  </si>
  <si>
    <t>บ้านคุณปุกกี้</t>
  </si>
  <si>
    <t xml:space="preserve">บ้านบางบอน5ซอย7 </t>
  </si>
  <si>
    <t>PhanasonSamutprakhan Residence</t>
  </si>
  <si>
    <t>P'Gummy @Sildrom Residence FL.21</t>
  </si>
  <si>
    <t>HUAY KWANG RESIDENCE</t>
  </si>
  <si>
    <t>Granpix</t>
  </si>
  <si>
    <t>บ้านคุณอู BUGAAN พัฒนาการ</t>
  </si>
  <si>
    <t>บ้านคุณเต้ย</t>
  </si>
  <si>
    <t>Khun Sarut's House</t>
  </si>
  <si>
    <t>25-17_Ekamai 28 (K'Phong)</t>
  </si>
  <si>
    <t>SUMMARY REPORT</t>
  </si>
  <si>
    <t>One row = one project — used to build the Overview, Status, and Financial sections of the Dashboard</t>
  </si>
  <si>
    <t>Overall Progress (%)</t>
  </si>
  <si>
    <t>Budget (THB)</t>
  </si>
  <si>
    <t>Spent (THB)</t>
  </si>
  <si>
    <t>Petty Cash (THB)</t>
  </si>
  <si>
    <t>Collected (THB)</t>
  </si>
  <si>
    <t>Man Power (Hours)</t>
  </si>
  <si>
    <t>Site Visit Days</t>
  </si>
  <si>
    <t>Site Inspector</t>
  </si>
  <si>
    <t>Preliminary (THB)</t>
  </si>
  <si>
    <t>VO - Variation Order (THB)</t>
  </si>
  <si>
    <t>VE - Variation/Omission (THB)</t>
  </si>
  <si>
    <t>Contractor Name</t>
  </si>
  <si>
    <t>Contract Value (THB)</t>
  </si>
  <si>
    <t>Project Manager</t>
  </si>
  <si>
    <t>บริษัทเอ.เอ็น.เอ็นจิเนียริ่งจํากัด</t>
  </si>
  <si>
    <t xml:space="preserve">รอลูกค้าคอนเฟิมวันส่งมอบงาน </t>
  </si>
  <si>
    <t>รองานโครงสร้าง</t>
  </si>
  <si>
    <t>ส่งมอบงานวันที่ 15/07/2026</t>
  </si>
  <si>
    <t>นายคธาชัย จันทร์ศรี</t>
  </si>
  <si>
    <t>บริษัท เคบีเอส ซีสเต็ม จํากัด</t>
  </si>
  <si>
    <t>บริษัท สามที เอ็นจิเนียริ่ง  จำกัด</t>
  </si>
  <si>
    <t>บริษัท อาร์ทอพ แอร์ ซัพพลาย จำกัด</t>
  </si>
  <si>
    <t>SITE VISIT LOG</t>
  </si>
  <si>
    <t>Optional sheet — one row = one team member's site visit hours in one month. Powers the team-wide Monthly Site Visit Overview chart on the Dashboard (not tied to a specific project).</t>
  </si>
  <si>
    <t>Inspector Name</t>
  </si>
  <si>
    <t>Site Visit Hours</t>
  </si>
  <si>
    <t>ฤทธิพร บุตรนิตย์</t>
  </si>
  <si>
    <t>ธนทร วัฒนชโนบล</t>
  </si>
  <si>
    <t>วริษฐ์ ยุวโชติพันธุ์</t>
  </si>
  <si>
    <t>1 กันยา เริ่มเข้าไซต์</t>
  </si>
  <si>
    <t>โครงการล่าช้า เดือน 9 ส่งมอบงาน</t>
  </si>
  <si>
    <t>Project Type</t>
  </si>
  <si>
    <t>External</t>
  </si>
  <si>
    <t>Visit Date</t>
  </si>
  <si>
    <t>Master Schedule PDF</t>
  </si>
  <si>
    <t>https://corallife806.sharepoint.com/:b:/s/CoralLife2/IQB_OM8tpcqzSYSvJ6iVtRP4AfoT3xxyU-FbYl9w1ZSicrI?e=Z2SvXD</t>
  </si>
  <si>
    <t>Actual Start Date</t>
  </si>
  <si>
    <t>Actual End Date</t>
  </si>
  <si>
    <t>Actual Delivery Date</t>
  </si>
  <si>
    <t>BD Data Received Date</t>
  </si>
  <si>
    <t>INTERNAL WORK</t>
  </si>
  <si>
    <t>Optional sheet — one row = one internal (non-project) work item or initiative.</t>
  </si>
  <si>
    <t>Topic</t>
  </si>
  <si>
    <t>Details</t>
  </si>
  <si>
    <t>In Progress</t>
  </si>
  <si>
    <t>https://corallife806.sharepoint.com/:x:/s/CoralLife2/IQAgdsPc2zNkQ5C41kKVppzcAUn7FZ408wMYJu9xdLOXGAk?e=Y6xkaQ</t>
  </si>
  <si>
    <t>https://corallife806.sharepoint.com/:b:/s/CoralLife2/IQD85m2EY5inQ6fSr-DozZluAQlFM028ytXMvyGjL_sTCAA?e=b5Wm0X</t>
  </si>
  <si>
    <t>แผนงาน.pdf</t>
  </si>
  <si>
    <t>Master Schedule_R1.pdf</t>
  </si>
  <si>
    <t>แผนงาน R2.pdf</t>
  </si>
  <si>
    <t>https://corallife806.sharepoint.com/:b:/s/CoralLife2/IQApiS38eEhNRKjVNVlpbA9jAaIPpzh_L5MpG-uJ9pPUXhI?e=Unknsk</t>
  </si>
  <si>
    <t>https://corallife806.sharepoint.com/:b:/s/CoralLife2/IQDFiWBSbZRCQLrA6vXOjE_4AXR2LclL9wuGBQobu8VGhpE?e=lzbSti</t>
  </si>
  <si>
    <t>อื่นๆ (ไม่ผูกกับโปรเจค) - Cash Advance</t>
  </si>
  <si>
    <t>รวมยอด Cash Advance ที่ไม่มีชื่อโปรเจคใน database - กรอกยอดในคอลัมน์ Petty Cash (THB)</t>
  </si>
  <si>
    <t>Non-Project</t>
  </si>
  <si>
    <t>Purpose</t>
  </si>
  <si>
    <t>คุณทวีชัย สมุทรปราการ</t>
  </si>
  <si>
    <t xml:space="preserve">07/31/2026 เริ่มเข้าไซต์ </t>
  </si>
  <si>
    <t>ERV - Project Management</t>
  </si>
  <si>
    <t>Dashboard สำหรับ Management</t>
  </si>
  <si>
    <t>สัญญาผู้รับเหมา &amp; Note ของ QT ลูกค้า</t>
  </si>
  <si>
    <t>รอนัดวัน ผู้รับเหมาเข้ามาประชุม</t>
  </si>
  <si>
    <t xml:space="preserve">Find contractor </t>
  </si>
  <si>
    <t>หาผู้รับเหมาเพิ่มเติม เจ้าเล็กๆ อีก 2 เจ้า</t>
  </si>
  <si>
    <t>รองานโครงสร้าง ปลายเดือน 7/26 สามารถเข้าดูหน้างานได้</t>
  </si>
  <si>
    <t>The Grand Pinkao</t>
  </si>
  <si>
    <t>Phanasorn</t>
  </si>
  <si>
    <t>ตรวจสอบหน้างานก่อนติดตั้ง</t>
  </si>
  <si>
    <t>Prawet Resident</t>
  </si>
  <si>
    <t xml:space="preserve">P'Gummy </t>
  </si>
  <si>
    <t>K'Issara House</t>
  </si>
  <si>
    <t>S'rin House</t>
  </si>
  <si>
    <t>28-คุณเต้ย หมู่บ้านรัตนาวดี</t>
  </si>
  <si>
    <t>D'Land</t>
  </si>
  <si>
    <t>K'Pong House</t>
  </si>
  <si>
    <t>ตรวจสอบงานติดตั้ง 2nd Fix</t>
  </si>
  <si>
    <t>เปิดฝ้า,ติดตั้งหน้างาน</t>
  </si>
  <si>
    <t>ส่งมอบงาน</t>
  </si>
  <si>
    <t>ตรวจสอบเปิดฝ้าหน้างานก่อนติดตั้ง</t>
  </si>
  <si>
    <t>ติดตามหน้างาน Firt fix</t>
  </si>
  <si>
    <t>สำรวจหน้างาน</t>
  </si>
  <si>
    <t>ส่งเอกสารวางบิล</t>
  </si>
  <si>
    <t>ติดตามหน้างาน Firt fix ก่อนปิดฝ้า</t>
  </si>
  <si>
    <t>K'Bamrung House</t>
  </si>
  <si>
    <t>ส่งมอบงาน Firt fix</t>
  </si>
  <si>
    <t>กันตพัฒน์ มากมูล</t>
  </si>
  <si>
    <t>วริษฐ์ ยุวชติพันธุ์</t>
  </si>
  <si>
    <t>HouseX</t>
  </si>
  <si>
    <t>ประชุม,เก็บงานติดตั้งกริล</t>
  </si>
  <si>
    <t>Site Meenting</t>
  </si>
  <si>
    <t>รอลูกค้าแจ้งการแก้ไขเรื่องไฟฟ้าไม่สามารถ ออนไฟได้ งวดสุดท้าย</t>
  </si>
  <si>
    <t>โครงการล่าช้า/ติดกริลวันที่ 24-27 /07 Pretest 30/07/2026 ส่งงานงวดสุดท้าย เดือนตุลา</t>
  </si>
  <si>
    <t>ส่งงาน Frist Fix เสร็จแล้ว รอเดือนตุลาเข้าดำเนินงาน Second Fix</t>
  </si>
  <si>
    <t>รองานโครงสร้าง เข้าได้ ปลายเดือน 8</t>
  </si>
  <si>
    <t>https://corallife806.sharepoint.com/:b:/s/CoralLife2/IQB85P7JtoSZT6532Il6VakbAcqfI6xy5EwPf0pgbRJpT3Y?e=Qwe5V0</t>
  </si>
  <si>
    <t>ราคา Minimum ของผู้รับเหมา</t>
  </si>
  <si>
    <t>ทำราคาขั้นต่ำ ในกรณีงานเล็กเป็นงานเหมา</t>
  </si>
  <si>
    <t>Data Actual  Plan</t>
  </si>
  <si>
    <t>ประชุมไซต์ก่อนเริ่มงาน</t>
  </si>
  <si>
    <t>ประชุม,คุยงานแก้ไขหลัง Corring</t>
  </si>
  <si>
    <t>เข้าเคลียร์ติดตั้งหน้างานวันแรก</t>
  </si>
  <si>
    <t>Achalaboon Residence</t>
  </si>
  <si>
    <t>รอข้อมูลจาก Main con</t>
  </si>
  <si>
    <t>Planning</t>
  </si>
  <si>
    <t>Huaykwang residence</t>
  </si>
  <si>
    <t>คิดงานเพิ่ม 3000 บาท ค่ากล่องพรีนัม ส่งงานวันที่ 07/31/2026</t>
  </si>
  <si>
    <t>ประชุม,คุยงานนัด Owner เข้า Pretest</t>
  </si>
  <si>
    <t>บริษัท อีโค่คูล ไครลเมท เทคโนโลยี จำกัด</t>
  </si>
  <si>
    <t>เทสและวัดลม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</si>
</sst>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"/>
    <numFmt numFmtId="165" formatCode="_(* #,##0_);_(* \(#,##0\);_(* &quot;-&quot;??_);_(@_)"/>
    <numFmt numFmtId="166" formatCode="_-* #,##0.00_-;\-* #,##0.00_-;_-* &quot;-&quot;??_-;_-@_-"/>
  </numFmts>
  <fonts count="20">
    <font>
      <sz val="11"/>
      <color theme="1"/>
      <name val="Calibri"/>
      <family val="2"/>
      <scheme val="minor"/>
    </font>
    <font>
      <b/>
      <sz val="14"/>
      <color rgb="FF16243A"/>
      <name val="Arial"/>
      <family val="2"/>
    </font>
    <font>
      <i/>
      <sz val="9"/>
      <color rgb="FF5B6B7C"/>
      <name val="Arial"/>
      <family val="2"/>
    </font>
    <font>
      <b/>
      <sz val="11"/>
      <color rgb="FFFFFFFF"/>
      <name val="Arial"/>
      <family val="2"/>
    </font>
    <font>
      <sz val="10.5"/>
      <name val="Arial"/>
      <family val="2"/>
    </font>
    <font>
      <b/>
      <sz val="10.5"/>
      <color rgb="FF16243A"/>
      <name val="Arial"/>
      <family val="2"/>
    </font>
    <font>
      <sz val="10.5"/>
      <name val="Arial"/>
      <family val="2"/>
    </font>
    <font>
      <sz val="11"/>
      <color theme="1"/>
      <name val="Calibri"/>
      <family val="2"/>
      <scheme val="minor"/>
    </font>
    <font>
      <sz val="12"/>
      <name val="Cordia New"/>
      <family val="2"/>
    </font>
    <font>
      <sz val="12"/>
      <color theme="1"/>
      <name val="Cordia New"/>
      <family val="2"/>
    </font>
    <font>
      <sz val="12"/>
      <color theme="1"/>
      <name val="Calibri"/>
      <family val="2"/>
      <scheme val="minor"/>
    </font>
    <font>
      <sz val="12"/>
      <color rgb="FFFF0000"/>
      <name val="Cordia New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0.5"/>
      <name val="Arial"/>
      <family val="2"/>
    </font>
    <font>
      <sz val="11"/>
      <color rgb="FFFF0000"/>
      <name val="Calibri"/>
      <family val="2"/>
      <scheme val="minor"/>
    </font>
    <font>
      <sz val="10.5"/>
      <color rgb="FFFF0000"/>
      <name val="Arial"/>
      <family val="2"/>
    </font>
    <font>
      <sz val="10.5"/>
      <name val="Arial"/>
    </font>
    <font>
      <b/>
      <sz val="10.5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6243A"/>
      </patternFill>
    </fill>
    <fill>
      <patternFill patternType="solid">
        <fgColor rgb="FFE9E4D8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6243A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D9D4C6"/>
      </left>
      <right style="thin">
        <color rgb="FFD9D4C6"/>
      </right>
      <top style="thin">
        <color rgb="FFD9D4C6"/>
      </top>
      <bottom style="thin">
        <color rgb="FFD9D4C6"/>
      </bottom>
      <diagonal/>
    </border>
    <border>
      <left style="thin">
        <color rgb="FFD9D4C6"/>
      </left>
      <right style="thin">
        <color rgb="FFD9D4C6"/>
      </right>
      <top/>
      <bottom/>
      <diagonal/>
    </border>
    <border>
      <left style="thin">
        <color rgb="FFD9D4C6"/>
      </left>
      <right style="thin">
        <color rgb="FFD9D4C6"/>
      </right>
      <top/>
      <bottom style="thin">
        <color rgb="FFD9D4C6"/>
      </bottom>
      <diagonal/>
    </border>
    <border>
      <left style="thin">
        <color rgb="FFD9D4C6"/>
      </left>
      <right style="thin">
        <color rgb="FFD9D4C6"/>
      </right>
      <top style="thin">
        <color rgb="FFD9D4C6"/>
      </top>
      <bottom style="medium">
        <color indexed="64"/>
      </bottom>
      <diagonal/>
    </border>
    <border>
      <left style="thin">
        <color rgb="FFD9D4C6"/>
      </left>
      <right style="thin">
        <color rgb="FFD9D4C6"/>
      </right>
      <top/>
      <bottom style="medium">
        <color indexed="64"/>
      </bottom>
      <diagonal/>
    </border>
    <border>
      <left style="thin">
        <color rgb="FFD9D4C6"/>
      </left>
      <right style="thin">
        <color rgb="FFD9D4C6"/>
      </right>
      <top style="medium">
        <color indexed="64"/>
      </top>
      <bottom style="thin">
        <color rgb="FFD9D4C6"/>
      </bottom>
      <diagonal/>
    </border>
    <border>
      <left style="thin">
        <color rgb="FFD9D4C6"/>
      </left>
      <right style="thin">
        <color indexed="64"/>
      </right>
      <top style="thin">
        <color rgb="FFD9D4C6"/>
      </top>
      <bottom style="medium">
        <color indexed="64"/>
      </bottom>
      <diagonal/>
    </border>
    <border>
      <left style="thin">
        <color rgb="FFD9D4C6"/>
      </left>
      <right style="thin">
        <color indexed="64"/>
      </right>
      <top style="thin">
        <color rgb="FFD9D4C6"/>
      </top>
      <bottom style="thin">
        <color rgb="FFD9D4C6"/>
      </bottom>
      <diagonal/>
    </border>
    <border>
      <left style="thin">
        <color rgb="FFD9D4C6"/>
      </left>
      <right style="thin">
        <color indexed="64"/>
      </right>
      <top style="medium">
        <color indexed="64"/>
      </top>
      <bottom style="thin">
        <color rgb="FFD9D4C6"/>
      </bottom>
      <diagonal/>
    </border>
    <border>
      <left style="thin">
        <color rgb="FFD9D4C6"/>
      </left>
      <right style="thin">
        <color indexed="64"/>
      </right>
      <top/>
      <bottom style="thin">
        <color rgb="FFD9D4C6"/>
      </bottom>
      <diagonal/>
    </border>
    <border>
      <left style="thin">
        <color rgb="FFD9D4C6"/>
      </left>
      <right style="thin">
        <color indexed="64"/>
      </right>
      <top style="medium">
        <color indexed="64"/>
      </top>
      <bottom/>
      <diagonal/>
    </border>
    <border>
      <left style="thin">
        <color rgb="FFD9D4C6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12" fillId="0" borderId="0" applyNumberFormat="0" applyFill="0" applyBorder="0" applyAlignment="0" applyProtection="0"/>
    <xf numFmtId="166" fontId="14" fillId="0" borderId="0" applyFont="0" applyFill="0" applyBorder="0" applyAlignment="0" applyProtection="0"/>
  </cellStyleXfs>
  <cellXfs count="8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1" fontId="4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1" fontId="6" fillId="0" borderId="1" xfId="0" applyNumberFormat="1" applyFont="1" applyBorder="1" applyAlignment="1">
      <alignment vertical="center"/>
    </xf>
    <xf numFmtId="0" fontId="10" fillId="0" borderId="0" xfId="0" applyFont="1"/>
    <xf numFmtId="0" fontId="9" fillId="0" borderId="0" xfId="0" applyFont="1" applyAlignment="1">
      <alignment horizontal="center"/>
    </xf>
    <xf numFmtId="43" fontId="9" fillId="0" borderId="0" xfId="1" applyFont="1" applyAlignment="1">
      <alignment horizontal="center"/>
    </xf>
    <xf numFmtId="14" fontId="9" fillId="0" borderId="0" xfId="0" applyNumberFormat="1" applyFont="1" applyAlignment="1">
      <alignment horizontal="center"/>
    </xf>
    <xf numFmtId="165" fontId="9" fillId="0" borderId="0" xfId="1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43" fontId="8" fillId="0" borderId="1" xfId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2" xfId="0" applyFont="1" applyBorder="1" applyAlignment="1">
      <alignment horizontal="center"/>
    </xf>
    <xf numFmtId="3" fontId="8" fillId="0" borderId="2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2" fillId="0" borderId="1" xfId="2" applyBorder="1" applyAlignment="1">
      <alignment horizontal="left"/>
    </xf>
    <xf numFmtId="164" fontId="0" fillId="0" borderId="0" xfId="0" applyNumberFormat="1"/>
    <xf numFmtId="0" fontId="12" fillId="0" borderId="0" xfId="2"/>
    <xf numFmtId="0" fontId="12" fillId="0" borderId="0" xfId="2" applyAlignment="1">
      <alignment horizontal="center"/>
    </xf>
    <xf numFmtId="0" fontId="6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9" fontId="6" fillId="0" borderId="3" xfId="0" applyNumberFormat="1" applyFont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164" fontId="6" fillId="4" borderId="4" xfId="0" applyNumberFormat="1" applyFont="1" applyFill="1" applyBorder="1" applyAlignment="1">
      <alignment vertical="center"/>
    </xf>
    <xf numFmtId="9" fontId="6" fillId="4" borderId="4" xfId="0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64" fontId="6" fillId="0" borderId="6" xfId="0" applyNumberFormat="1" applyFont="1" applyBorder="1" applyAlignment="1">
      <alignment vertical="center"/>
    </xf>
    <xf numFmtId="9" fontId="6" fillId="0" borderId="6" xfId="0" applyNumberFormat="1" applyFont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164" fontId="6" fillId="5" borderId="6" xfId="0" applyNumberFormat="1" applyFont="1" applyFill="1" applyBorder="1" applyAlignment="1">
      <alignment vertical="center"/>
    </xf>
    <xf numFmtId="9" fontId="6" fillId="5" borderId="6" xfId="0" applyNumberFormat="1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164" fontId="6" fillId="5" borderId="4" xfId="0" applyNumberFormat="1" applyFont="1" applyFill="1" applyBorder="1" applyAlignment="1">
      <alignment vertical="center"/>
    </xf>
    <xf numFmtId="9" fontId="6" fillId="5" borderId="4" xfId="0" applyNumberFormat="1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13" fillId="6" borderId="0" xfId="0" applyFont="1" applyFill="1"/>
    <xf numFmtId="43" fontId="9" fillId="0" borderId="0" xfId="0" applyNumberFormat="1" applyFont="1" applyAlignment="1">
      <alignment horizontal="center"/>
    </xf>
    <xf numFmtId="0" fontId="6" fillId="0" borderId="4" xfId="0" applyFont="1" applyBorder="1" applyAlignment="1">
      <alignment vertical="center"/>
    </xf>
    <xf numFmtId="164" fontId="6" fillId="0" borderId="4" xfId="0" applyNumberFormat="1" applyFont="1" applyBorder="1" applyAlignment="1">
      <alignment vertical="center"/>
    </xf>
    <xf numFmtId="9" fontId="6" fillId="0" borderId="4" xfId="0" applyNumberFormat="1" applyFont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164" fontId="6" fillId="5" borderId="1" xfId="0" applyNumberFormat="1" applyFont="1" applyFill="1" applyBorder="1" applyAlignment="1">
      <alignment vertical="center"/>
    </xf>
    <xf numFmtId="9" fontId="6" fillId="5" borderId="1" xfId="0" applyNumberFormat="1" applyFont="1" applyFill="1" applyBorder="1" applyAlignment="1">
      <alignment vertical="center"/>
    </xf>
    <xf numFmtId="1" fontId="15" fillId="0" borderId="1" xfId="0" applyNumberFormat="1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164" fontId="15" fillId="0" borderId="1" xfId="0" applyNumberFormat="1" applyFont="1" applyBorder="1" applyAlignment="1">
      <alignment vertical="center"/>
    </xf>
    <xf numFmtId="9" fontId="9" fillId="0" borderId="0" xfId="0" applyNumberFormat="1" applyFont="1" applyAlignment="1">
      <alignment horizontal="center"/>
    </xf>
    <xf numFmtId="164" fontId="4" fillId="7" borderId="13" xfId="0" applyNumberFormat="1" applyFont="1" applyFill="1" applyBorder="1" applyAlignment="1">
      <alignment vertical="center"/>
    </xf>
    <xf numFmtId="164" fontId="17" fillId="0" borderId="13" xfId="0" applyNumberFormat="1" applyFont="1" applyBorder="1" applyAlignment="1">
      <alignment vertical="center"/>
    </xf>
    <xf numFmtId="164" fontId="4" fillId="0" borderId="13" xfId="0" applyNumberFormat="1" applyFont="1" applyBorder="1" applyAlignment="1">
      <alignment vertical="center"/>
    </xf>
    <xf numFmtId="164" fontId="4" fillId="8" borderId="13" xfId="0" applyNumberFormat="1" applyFont="1" applyFill="1" applyBorder="1" applyAlignment="1">
      <alignment vertical="center"/>
    </xf>
    <xf numFmtId="164" fontId="18" fillId="0" borderId="13" xfId="0" applyNumberFormat="1" applyFont="1" applyBorder="1" applyAlignment="1">
      <alignment vertical="center"/>
    </xf>
    <xf numFmtId="164" fontId="18" fillId="7" borderId="13" xfId="0" applyNumberFormat="1" applyFont="1" applyFill="1" applyBorder="1" applyAlignment="1">
      <alignment vertical="center"/>
    </xf>
    <xf numFmtId="164" fontId="5" fillId="3" borderId="6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left" vertical="center" indent="1"/>
    </xf>
    <xf numFmtId="0" fontId="0" fillId="3" borderId="5" xfId="0" applyFill="1" applyBorder="1"/>
    <xf numFmtId="164" fontId="5" fillId="3" borderId="13" xfId="0" applyNumberFormat="1" applyFont="1" applyFill="1" applyBorder="1" applyAlignment="1">
      <alignment horizontal="center" vertical="center"/>
    </xf>
    <xf numFmtId="0" fontId="0" fillId="3" borderId="13" xfId="0" applyFill="1" applyBorder="1"/>
    <xf numFmtId="164" fontId="19" fillId="3" borderId="13" xfId="0" applyNumberFormat="1" applyFont="1" applyFill="1" applyBorder="1" applyAlignment="1">
      <alignment horizontal="center" vertical="center"/>
    </xf>
    <xf numFmtId="0" fontId="16" fillId="3" borderId="13" xfId="0" applyFont="1" applyFill="1" applyBorder="1"/>
    <xf numFmtId="0" fontId="5" fillId="3" borderId="3" xfId="0" applyFont="1" applyFill="1" applyBorder="1" applyAlignment="1">
      <alignment horizontal="left" vertical="center" indent="1"/>
    </xf>
    <xf numFmtId="0" fontId="1" fillId="0" borderId="0" xfId="0" applyFont="1"/>
    <xf numFmtId="0" fontId="0" fillId="0" borderId="0" xfId="0"/>
    <xf numFmtId="0" fontId="2" fillId="0" borderId="0" xfId="0" applyFont="1"/>
    <xf numFmtId="0" fontId="5" fillId="3" borderId="1" xfId="0" applyFont="1" applyFill="1" applyBorder="1" applyAlignment="1">
      <alignment horizontal="left" vertical="center" indent="1"/>
    </xf>
  </cellXfs>
  <cellStyles count="4">
    <cellStyle name="Comma 2 2 3 2" xfId="3" xr:uid="{10CA6883-C0B4-442D-A7D0-FF27A9ED468E}"/>
    <cellStyle name="Hyperlink" xfId="2" builtinId="8"/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orallife806.sharepoint.com/sites/CoralLife2/Document%20Sharing/BA%20-%20Solution%20Design/1_Non-Project/7_Engineer/IAQ%20Solution/0_ERV%20Management/2_Construction%20Management/Construction_Portfolio_Template%20&#3626;&#3635;&#3648;&#3609;&#3634;.xlsx" TargetMode="External"/><Relationship Id="rId2" Type="http://schemas.microsoft.com/office/2019/04/relationships/externalLinkLongPath" Target="https://corallife806.sharepoint.com/sites/CoralLife2/Document%20Sharing/BA%20-%20Solution%20Design/1_Non-Project/7_Engineer/IAQ%20Solution/0_ERV%20Management/2_Construction%20Management/Dashboard/Construction_Portfolio_Template%20&#3626;&#3635;&#3648;&#3609;&#3634;.xlsx?176BF005" TargetMode="External"/><Relationship Id="rId1" Type="http://schemas.openxmlformats.org/officeDocument/2006/relationships/externalLinkPath" Target="file:///\\176BF005\Construction_Portfolio_Template%20&#3626;&#3635;&#3648;&#3609;&#363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Master Schedule"/>
      <sheetName val="Summary Report"/>
      <sheetName val="Site Visit Log"/>
    </sheetNames>
    <sheetDataSet>
      <sheetData sheetId="0" refreshError="1">
        <row r="5">
          <cell r="C5">
            <v>46084</v>
          </cell>
        </row>
        <row r="6">
          <cell r="C6">
            <v>46189</v>
          </cell>
        </row>
        <row r="10">
          <cell r="C10">
            <v>46168</v>
          </cell>
        </row>
        <row r="11">
          <cell r="C11">
            <v>46184</v>
          </cell>
        </row>
        <row r="12">
          <cell r="C12">
            <v>46200</v>
          </cell>
        </row>
        <row r="15">
          <cell r="C15">
            <v>46168</v>
          </cell>
        </row>
        <row r="16">
          <cell r="C16">
            <v>46198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orallife806.sharepoint.com/:b:/s/CoralLife2/IQApiS38eEhNRKjVNVlpbA9jAaIPpzh_L5MpG-uJ9pPUXhI?e=Unknsk" TargetMode="External"/><Relationship Id="rId3" Type="http://schemas.openxmlformats.org/officeDocument/2006/relationships/hyperlink" Target="https://corallife806.sharepoint.com/:b:/s/CoralLife2/IQD85m2EY5inQ6fSr-DozZluAQlFM028ytXMvyGjL_sTCAA?e=b5Wm0X" TargetMode="External"/><Relationship Id="rId7" Type="http://schemas.openxmlformats.org/officeDocument/2006/relationships/hyperlink" Target="https://corallife806.sharepoint.com/:b:/s/CoralLife2/IQBSB6_w6g72TLKUHWGlGBMFARs9IGLaqRfLn5C5zWJMU04?e=8SAokd" TargetMode="External"/><Relationship Id="rId2" Type="http://schemas.openxmlformats.org/officeDocument/2006/relationships/hyperlink" Target="https://corallife806.sharepoint.com/:x:/s/CoralLife2/IQAgdsPc2zNkQ5C41kKVppzcAUn7FZ408wMYJu9xdLOXGAk?e=Y6xkaQ" TargetMode="External"/><Relationship Id="rId1" Type="http://schemas.openxmlformats.org/officeDocument/2006/relationships/hyperlink" Target="https://corallife806.sharepoint.com/:b:/s/CoralLife2/IQB_OM8tpcqzSYSvJ6iVtRP4AfoT3xxyU-FbYl9w1ZSicrI?e=Z2SvXD" TargetMode="External"/><Relationship Id="rId6" Type="http://schemas.openxmlformats.org/officeDocument/2006/relationships/hyperlink" Target="https://corallife806.sharepoint.com/:b:/s/CoralLife2/IQBzSAX63zsdTaCxQyovwEpUAdqoBcvGSGMOniM5cwxdJJo?e=0608OK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corallife806.sharepoint.com/:b:/s/CoralLife2/IQDPRH31b2MuQrHsnyp3t2p9AUx2BIPH7d5CaCZiEXf91Ts?e=epteGe" TargetMode="External"/><Relationship Id="rId10" Type="http://schemas.openxmlformats.org/officeDocument/2006/relationships/hyperlink" Target="https://corallife806.sharepoint.com/:b:/s/CoralLife2/IQB85P7JtoSZT6532Il6VakbAcqfI6xy5EwPf0pgbRJpT3Y?e=Qwe5V0" TargetMode="External"/><Relationship Id="rId4" Type="http://schemas.openxmlformats.org/officeDocument/2006/relationships/hyperlink" Target="https://corallife806.sharepoint.com/:b:/s/CoralLife2/IQC_1O9ATjPsQomIvw1ojRYNAaU5LIg7fkK9VUpOyGFWeRU?e=lM49aH" TargetMode="External"/><Relationship Id="rId9" Type="http://schemas.openxmlformats.org/officeDocument/2006/relationships/hyperlink" Target="https://corallife806.sharepoint.com/:b:/s/CoralLife2/IQDFiWBSbZRCQLrA6vXOjE_4AXR2LclL9wuGBQobu8VGhpE?e=lzbS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="85" zoomScaleNormal="85" workbookViewId="0">
      <pane ySplit="4" topLeftCell="A5" activePane="bottomLeft" state="frozen"/>
      <selection pane="bottomLeft" activeCell="H19" sqref="H19"/>
    </sheetView>
  </sheetViews>
  <sheetFormatPr defaultRowHeight="14.4"/>
  <cols>
    <col min="1" max="1" width="41.33203125" bestFit="1" customWidth="1"/>
    <col min="2" max="2" width="34" customWidth="1"/>
    <col min="3" max="4" width="13" customWidth="1"/>
    <col min="5" max="6" width="16.77734375" customWidth="1"/>
    <col min="7" max="7" width="11" customWidth="1"/>
    <col min="8" max="8" width="13" customWidth="1"/>
    <col min="9" max="9" width="14" customWidth="1"/>
    <col min="10" max="10" width="18.77734375" customWidth="1"/>
    <col min="11" max="11" width="30" customWidth="1"/>
  </cols>
  <sheetData>
    <row r="1" spans="1:11" ht="17.399999999999999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</row>
    <row r="2" spans="1:11">
      <c r="A2" s="84" t="s">
        <v>1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4" spans="1:11" ht="28.2" thickBot="1">
      <c r="A4" s="1" t="s">
        <v>2</v>
      </c>
      <c r="B4" s="1" t="s">
        <v>3</v>
      </c>
      <c r="C4" s="1" t="s">
        <v>4</v>
      </c>
      <c r="D4" s="1" t="s">
        <v>5</v>
      </c>
      <c r="E4" s="1" t="s">
        <v>71</v>
      </c>
      <c r="F4" s="1" t="s">
        <v>72</v>
      </c>
      <c r="G4" s="1" t="s">
        <v>6</v>
      </c>
      <c r="H4" s="1" t="s">
        <v>7</v>
      </c>
      <c r="I4" s="1" t="s">
        <v>8</v>
      </c>
      <c r="J4" s="1" t="s">
        <v>73</v>
      </c>
      <c r="K4" s="1" t="s">
        <v>9</v>
      </c>
    </row>
    <row r="5" spans="1:11" ht="15" thickBot="1">
      <c r="A5" s="85" t="s">
        <v>10</v>
      </c>
      <c r="B5" s="58" t="s">
        <v>11</v>
      </c>
      <c r="C5" s="65">
        <v>46084</v>
      </c>
      <c r="D5" s="65">
        <v>46127</v>
      </c>
      <c r="E5" s="59"/>
      <c r="F5" s="59"/>
      <c r="G5" s="60">
        <v>1</v>
      </c>
      <c r="H5" s="58" t="s">
        <v>12</v>
      </c>
      <c r="I5" s="77">
        <v>46244</v>
      </c>
      <c r="J5" s="73"/>
      <c r="K5" s="47"/>
    </row>
    <row r="6" spans="1:11" ht="15" thickBot="1">
      <c r="A6" s="76"/>
      <c r="B6" s="44" t="s">
        <v>13</v>
      </c>
      <c r="C6" s="65">
        <v>46189</v>
      </c>
      <c r="D6" s="65">
        <v>46189</v>
      </c>
      <c r="E6" s="45"/>
      <c r="F6" s="45"/>
      <c r="G6" s="46">
        <v>1</v>
      </c>
      <c r="H6" s="44" t="s">
        <v>12</v>
      </c>
      <c r="I6" s="78"/>
      <c r="J6" s="72"/>
      <c r="K6" s="48"/>
    </row>
    <row r="7" spans="1:11" ht="15" thickBot="1">
      <c r="A7" s="75" t="s">
        <v>14</v>
      </c>
      <c r="B7" s="38" t="s">
        <v>11</v>
      </c>
      <c r="C7" s="66">
        <v>46266</v>
      </c>
      <c r="D7" s="66">
        <v>46275</v>
      </c>
      <c r="E7" s="39"/>
      <c r="F7" s="39"/>
      <c r="G7" s="40">
        <v>0</v>
      </c>
      <c r="H7" s="38" t="s">
        <v>15</v>
      </c>
      <c r="I7" s="77">
        <v>46366</v>
      </c>
      <c r="J7" s="71"/>
      <c r="K7" s="49"/>
    </row>
    <row r="8" spans="1:11" ht="15" thickBot="1">
      <c r="A8" s="76"/>
      <c r="B8" s="35" t="s">
        <v>13</v>
      </c>
      <c r="C8" s="66">
        <v>46305</v>
      </c>
      <c r="D8" s="66">
        <v>46308</v>
      </c>
      <c r="E8" s="36"/>
      <c r="F8" s="36"/>
      <c r="G8" s="37">
        <v>0</v>
      </c>
      <c r="H8" s="35" t="s">
        <v>15</v>
      </c>
      <c r="I8" s="78"/>
      <c r="J8" s="72"/>
      <c r="K8" s="48"/>
    </row>
    <row r="9" spans="1:11" ht="15" thickBot="1">
      <c r="A9" s="75" t="s">
        <v>17</v>
      </c>
      <c r="B9" s="38" t="s">
        <v>11</v>
      </c>
      <c r="C9" s="65">
        <v>46082</v>
      </c>
      <c r="D9" s="65">
        <v>46096</v>
      </c>
      <c r="E9" s="39"/>
      <c r="F9" s="39"/>
      <c r="G9" s="40">
        <v>1</v>
      </c>
      <c r="H9" s="38" t="s">
        <v>12</v>
      </c>
      <c r="I9" s="77">
        <v>46218</v>
      </c>
      <c r="J9" s="71"/>
      <c r="K9" s="49"/>
    </row>
    <row r="10" spans="1:11" ht="15" thickBot="1">
      <c r="A10" s="76"/>
      <c r="B10" s="35" t="s">
        <v>13</v>
      </c>
      <c r="C10" s="65">
        <v>46168</v>
      </c>
      <c r="D10" s="65">
        <v>46213</v>
      </c>
      <c r="E10" s="36"/>
      <c r="F10" s="36"/>
      <c r="G10" s="37">
        <v>1</v>
      </c>
      <c r="H10" s="35" t="s">
        <v>12</v>
      </c>
      <c r="I10" s="78"/>
      <c r="J10" s="72"/>
      <c r="K10" s="48"/>
    </row>
    <row r="11" spans="1:11" ht="15" thickBot="1">
      <c r="A11" s="75" t="s">
        <v>18</v>
      </c>
      <c r="B11" s="41" t="s">
        <v>11</v>
      </c>
      <c r="C11" s="65">
        <v>46184</v>
      </c>
      <c r="D11" s="65">
        <v>46191</v>
      </c>
      <c r="E11" s="42"/>
      <c r="F11" s="42"/>
      <c r="G11" s="43">
        <v>1</v>
      </c>
      <c r="H11" s="41" t="s">
        <v>12</v>
      </c>
      <c r="I11" s="77">
        <v>46171</v>
      </c>
      <c r="J11" s="71"/>
      <c r="K11" s="49"/>
    </row>
    <row r="12" spans="1:11" ht="15" thickBot="1">
      <c r="A12" s="76"/>
      <c r="B12" s="44" t="s">
        <v>13</v>
      </c>
      <c r="C12" s="65">
        <v>46200</v>
      </c>
      <c r="D12" s="65">
        <v>46202</v>
      </c>
      <c r="E12" s="45"/>
      <c r="F12" s="45"/>
      <c r="G12" s="46">
        <v>1</v>
      </c>
      <c r="H12" s="44" t="s">
        <v>12</v>
      </c>
      <c r="I12" s="78"/>
      <c r="J12" s="72"/>
      <c r="K12" s="48"/>
    </row>
    <row r="13" spans="1:11" ht="15" thickBot="1">
      <c r="A13" s="75" t="s">
        <v>19</v>
      </c>
      <c r="B13" s="38" t="s">
        <v>11</v>
      </c>
      <c r="C13" s="66">
        <v>46392</v>
      </c>
      <c r="D13" s="66">
        <v>46402</v>
      </c>
      <c r="E13" s="39"/>
      <c r="F13" s="39"/>
      <c r="G13" s="40">
        <v>0</v>
      </c>
      <c r="H13" s="38" t="s">
        <v>15</v>
      </c>
      <c r="I13" s="79">
        <v>46419</v>
      </c>
      <c r="J13" s="71"/>
      <c r="K13" s="49"/>
    </row>
    <row r="14" spans="1:11" ht="15" thickBot="1">
      <c r="A14" s="76"/>
      <c r="B14" s="35" t="s">
        <v>13</v>
      </c>
      <c r="C14" s="66">
        <v>46423</v>
      </c>
      <c r="D14" s="66">
        <v>46428</v>
      </c>
      <c r="E14" s="36"/>
      <c r="F14" s="36"/>
      <c r="G14" s="37">
        <v>0</v>
      </c>
      <c r="H14" s="35" t="s">
        <v>15</v>
      </c>
      <c r="I14" s="80"/>
      <c r="J14" s="72"/>
      <c r="K14" s="48"/>
    </row>
    <row r="15" spans="1:11" ht="15" thickBot="1">
      <c r="A15" s="75" t="s">
        <v>20</v>
      </c>
      <c r="B15" s="41" t="s">
        <v>11</v>
      </c>
      <c r="C15" s="65">
        <v>46168</v>
      </c>
      <c r="D15" s="65">
        <v>46188</v>
      </c>
      <c r="E15" s="42"/>
      <c r="F15" s="42"/>
      <c r="G15" s="43">
        <v>1</v>
      </c>
      <c r="H15" s="41" t="s">
        <v>12</v>
      </c>
      <c r="I15" s="77">
        <v>46199</v>
      </c>
      <c r="J15" s="71"/>
      <c r="K15" s="49"/>
    </row>
    <row r="16" spans="1:11" ht="15" thickBot="1">
      <c r="A16" s="76"/>
      <c r="B16" s="44" t="s">
        <v>13</v>
      </c>
      <c r="C16" s="65">
        <v>46198</v>
      </c>
      <c r="D16" s="65">
        <v>46199</v>
      </c>
      <c r="E16" s="45"/>
      <c r="F16" s="45"/>
      <c r="G16" s="46">
        <v>1</v>
      </c>
      <c r="H16" s="44" t="s">
        <v>12</v>
      </c>
      <c r="I16" s="78"/>
      <c r="J16" s="72"/>
      <c r="K16" s="48"/>
    </row>
    <row r="17" spans="1:11" ht="15" thickBot="1">
      <c r="A17" s="81" t="s">
        <v>21</v>
      </c>
      <c r="B17" s="32" t="s">
        <v>11</v>
      </c>
      <c r="C17" s="65">
        <v>46188</v>
      </c>
      <c r="D17" s="65">
        <v>46198</v>
      </c>
      <c r="E17" s="33"/>
      <c r="F17" s="33"/>
      <c r="G17" s="34">
        <v>0.8</v>
      </c>
      <c r="H17" s="32" t="s">
        <v>12</v>
      </c>
      <c r="I17" s="77">
        <v>46305</v>
      </c>
      <c r="J17" s="74"/>
      <c r="K17" s="50"/>
    </row>
    <row r="18" spans="1:11" ht="15" thickBot="1">
      <c r="A18" s="76"/>
      <c r="B18" s="35" t="s">
        <v>13</v>
      </c>
      <c r="C18" s="67">
        <v>46296</v>
      </c>
      <c r="D18" s="67">
        <v>46298</v>
      </c>
      <c r="E18" s="36"/>
      <c r="F18" s="36"/>
      <c r="G18" s="37">
        <v>0.4</v>
      </c>
      <c r="H18" s="35" t="s">
        <v>22</v>
      </c>
      <c r="I18" s="78"/>
      <c r="J18" s="72"/>
      <c r="K18" s="48"/>
    </row>
    <row r="19" spans="1:11" ht="15" thickBot="1">
      <c r="A19" s="81" t="s">
        <v>23</v>
      </c>
      <c r="B19" s="32" t="s">
        <v>11</v>
      </c>
      <c r="C19" s="66">
        <v>46366</v>
      </c>
      <c r="D19" s="66">
        <v>46381</v>
      </c>
      <c r="E19" s="33"/>
      <c r="F19" s="33"/>
      <c r="G19" s="34">
        <v>0</v>
      </c>
      <c r="H19" s="32" t="s">
        <v>15</v>
      </c>
      <c r="I19" s="79">
        <v>46419</v>
      </c>
      <c r="J19" s="74"/>
      <c r="K19" s="50"/>
    </row>
    <row r="20" spans="1:11" ht="15" thickBot="1">
      <c r="A20" s="76"/>
      <c r="B20" s="35" t="s">
        <v>13</v>
      </c>
      <c r="C20" s="66">
        <v>46388</v>
      </c>
      <c r="D20" s="66">
        <v>46390</v>
      </c>
      <c r="E20" s="36"/>
      <c r="F20" s="36"/>
      <c r="G20" s="37">
        <v>0</v>
      </c>
      <c r="H20" s="35" t="s">
        <v>15</v>
      </c>
      <c r="I20" s="80"/>
      <c r="J20" s="72"/>
      <c r="K20" s="48"/>
    </row>
    <row r="21" spans="1:11" ht="15" thickBot="1">
      <c r="A21" s="75" t="s">
        <v>24</v>
      </c>
      <c r="B21" s="38" t="s">
        <v>11</v>
      </c>
      <c r="C21" s="66">
        <v>46240</v>
      </c>
      <c r="D21" s="66">
        <v>46249</v>
      </c>
      <c r="E21" s="39"/>
      <c r="F21" s="39"/>
      <c r="G21" s="40">
        <v>0</v>
      </c>
      <c r="H21" s="38" t="s">
        <v>15</v>
      </c>
      <c r="I21" s="79">
        <v>46397</v>
      </c>
      <c r="J21" s="71"/>
      <c r="K21" s="51"/>
    </row>
    <row r="22" spans="1:11" ht="15" thickBot="1">
      <c r="A22" s="76"/>
      <c r="B22" s="35" t="s">
        <v>13</v>
      </c>
      <c r="C22" s="66">
        <v>46327</v>
      </c>
      <c r="D22" s="66">
        <v>46329</v>
      </c>
      <c r="E22" s="36"/>
      <c r="F22" s="36"/>
      <c r="G22" s="37">
        <v>0</v>
      </c>
      <c r="H22" s="35" t="s">
        <v>15</v>
      </c>
      <c r="I22" s="80"/>
      <c r="J22" s="72"/>
      <c r="K22" s="52"/>
    </row>
    <row r="23" spans="1:11" ht="15" thickBot="1">
      <c r="A23" s="75" t="s">
        <v>25</v>
      </c>
      <c r="B23" s="41" t="s">
        <v>11</v>
      </c>
      <c r="C23" s="65">
        <v>46197</v>
      </c>
      <c r="D23" s="65">
        <v>46209</v>
      </c>
      <c r="E23" s="42"/>
      <c r="F23" s="42"/>
      <c r="G23" s="43">
        <v>1</v>
      </c>
      <c r="H23" s="41" t="s">
        <v>22</v>
      </c>
      <c r="I23" s="77">
        <v>46237</v>
      </c>
      <c r="J23" s="71"/>
      <c r="K23" s="51"/>
    </row>
    <row r="24" spans="1:11" ht="15" thickBot="1">
      <c r="A24" s="76"/>
      <c r="B24" s="44" t="s">
        <v>13</v>
      </c>
      <c r="C24" s="65">
        <v>46209</v>
      </c>
      <c r="D24" s="65">
        <v>46211</v>
      </c>
      <c r="E24" s="45"/>
      <c r="F24" s="45"/>
      <c r="G24" s="46">
        <v>1</v>
      </c>
      <c r="H24" s="44" t="s">
        <v>22</v>
      </c>
      <c r="I24" s="78"/>
      <c r="J24" s="72"/>
      <c r="K24" s="52"/>
    </row>
    <row r="25" spans="1:11" ht="15" thickBot="1">
      <c r="A25" s="75" t="s">
        <v>26</v>
      </c>
      <c r="B25" s="41" t="s">
        <v>11</v>
      </c>
      <c r="C25" s="65">
        <v>46185</v>
      </c>
      <c r="D25" s="65">
        <v>46188</v>
      </c>
      <c r="E25" s="42"/>
      <c r="F25" s="42"/>
      <c r="G25" s="43">
        <v>1</v>
      </c>
      <c r="H25" s="41" t="s">
        <v>12</v>
      </c>
      <c r="I25" s="77">
        <v>46188</v>
      </c>
      <c r="J25" s="71"/>
      <c r="K25" s="51"/>
    </row>
    <row r="26" spans="1:11" ht="15" thickBot="1">
      <c r="A26" s="76"/>
      <c r="B26" s="44" t="s">
        <v>13</v>
      </c>
      <c r="C26" s="65">
        <v>46185</v>
      </c>
      <c r="D26" s="65">
        <v>46188</v>
      </c>
      <c r="E26" s="45"/>
      <c r="F26" s="45"/>
      <c r="G26" s="46">
        <v>1</v>
      </c>
      <c r="H26" s="44" t="s">
        <v>12</v>
      </c>
      <c r="I26" s="78"/>
      <c r="J26" s="72"/>
      <c r="K26" s="52"/>
    </row>
    <row r="27" spans="1:11" ht="15" thickBot="1">
      <c r="A27" s="75" t="s">
        <v>27</v>
      </c>
      <c r="B27" s="38" t="s">
        <v>11</v>
      </c>
      <c r="C27" s="68">
        <v>46275</v>
      </c>
      <c r="D27" s="68">
        <v>46295</v>
      </c>
      <c r="E27" s="39"/>
      <c r="F27" s="39"/>
      <c r="G27" s="40">
        <v>0</v>
      </c>
      <c r="H27" s="38" t="s">
        <v>22</v>
      </c>
      <c r="I27" s="79">
        <v>46382</v>
      </c>
      <c r="J27" s="71"/>
      <c r="K27" s="51"/>
    </row>
    <row r="28" spans="1:11" ht="15" thickBot="1">
      <c r="A28" s="76"/>
      <c r="B28" s="35" t="s">
        <v>13</v>
      </c>
      <c r="C28" s="68">
        <v>46345</v>
      </c>
      <c r="D28" s="68">
        <v>46347</v>
      </c>
      <c r="E28" s="36"/>
      <c r="F28" s="36"/>
      <c r="G28" s="37">
        <v>0</v>
      </c>
      <c r="H28" s="35" t="s">
        <v>22</v>
      </c>
      <c r="I28" s="80"/>
      <c r="J28" s="72"/>
      <c r="K28" s="52"/>
    </row>
    <row r="29" spans="1:11" ht="15" thickBot="1">
      <c r="A29" s="75" t="s">
        <v>28</v>
      </c>
      <c r="B29" s="41" t="s">
        <v>11</v>
      </c>
      <c r="C29" s="65">
        <v>46091</v>
      </c>
      <c r="D29" s="65">
        <v>46100</v>
      </c>
      <c r="E29" s="42"/>
      <c r="F29" s="42"/>
      <c r="G29" s="43">
        <v>1</v>
      </c>
      <c r="H29" s="41" t="s">
        <v>12</v>
      </c>
      <c r="I29" s="77">
        <v>46139</v>
      </c>
      <c r="J29" s="71"/>
      <c r="K29" s="51"/>
    </row>
    <row r="30" spans="1:11" ht="15" thickBot="1">
      <c r="A30" s="76"/>
      <c r="B30" s="44" t="s">
        <v>13</v>
      </c>
      <c r="C30" s="65">
        <v>46120</v>
      </c>
      <c r="D30" s="65">
        <v>46124</v>
      </c>
      <c r="E30" s="45"/>
      <c r="F30" s="45"/>
      <c r="G30" s="46">
        <v>1</v>
      </c>
      <c r="H30" s="44" t="s">
        <v>12</v>
      </c>
      <c r="I30" s="78"/>
      <c r="J30" s="72"/>
      <c r="K30" s="52"/>
    </row>
    <row r="31" spans="1:11" ht="15" thickBot="1">
      <c r="A31" s="75" t="s">
        <v>29</v>
      </c>
      <c r="B31" s="41" t="s">
        <v>11</v>
      </c>
      <c r="C31" s="65">
        <v>46091</v>
      </c>
      <c r="D31" s="65">
        <v>46094</v>
      </c>
      <c r="E31" s="42"/>
      <c r="F31" s="42"/>
      <c r="G31" s="43">
        <v>1</v>
      </c>
      <c r="H31" s="41" t="s">
        <v>12</v>
      </c>
      <c r="I31" s="77">
        <v>46133</v>
      </c>
      <c r="J31" s="71"/>
      <c r="K31" s="51"/>
    </row>
    <row r="32" spans="1:11" ht="15" thickBot="1">
      <c r="A32" s="76"/>
      <c r="B32" s="44" t="s">
        <v>13</v>
      </c>
      <c r="C32" s="65">
        <v>46091</v>
      </c>
      <c r="D32" s="65">
        <v>46094</v>
      </c>
      <c r="E32" s="45"/>
      <c r="F32" s="45"/>
      <c r="G32" s="46">
        <v>1</v>
      </c>
      <c r="H32" s="44" t="s">
        <v>12</v>
      </c>
      <c r="I32" s="78"/>
      <c r="J32" s="72"/>
      <c r="K32" s="52"/>
    </row>
    <row r="33" spans="1:11" ht="15" thickBot="1">
      <c r="A33" s="75" t="s">
        <v>30</v>
      </c>
      <c r="B33" s="38" t="s">
        <v>11</v>
      </c>
      <c r="C33" s="66">
        <v>46237</v>
      </c>
      <c r="D33" s="66">
        <v>46248</v>
      </c>
      <c r="E33" s="39"/>
      <c r="F33" s="39"/>
      <c r="G33" s="40">
        <v>0</v>
      </c>
      <c r="H33" s="38" t="s">
        <v>22</v>
      </c>
      <c r="I33" s="77">
        <v>46342</v>
      </c>
      <c r="J33" s="71"/>
      <c r="K33" s="51"/>
    </row>
    <row r="34" spans="1:11" ht="15" thickBot="1">
      <c r="A34" s="76"/>
      <c r="B34" s="35" t="s">
        <v>13</v>
      </c>
      <c r="C34" s="66">
        <v>46296</v>
      </c>
      <c r="D34" s="66">
        <v>46303</v>
      </c>
      <c r="E34" s="36"/>
      <c r="F34" s="36"/>
      <c r="G34" s="37">
        <v>0</v>
      </c>
      <c r="H34" s="35" t="s">
        <v>22</v>
      </c>
      <c r="I34" s="78"/>
      <c r="J34" s="72"/>
      <c r="K34" s="52"/>
    </row>
    <row r="35" spans="1:11" ht="15" thickBot="1">
      <c r="A35" s="75" t="s">
        <v>31</v>
      </c>
      <c r="B35" s="38" t="s">
        <v>11</v>
      </c>
      <c r="C35" s="65">
        <v>45723</v>
      </c>
      <c r="D35" s="65">
        <v>45729</v>
      </c>
      <c r="E35" s="39"/>
      <c r="F35" s="39"/>
      <c r="G35" s="40">
        <v>1</v>
      </c>
      <c r="H35" s="38" t="s">
        <v>22</v>
      </c>
      <c r="I35" s="77">
        <v>46264</v>
      </c>
      <c r="J35" s="71"/>
      <c r="K35" s="51"/>
    </row>
    <row r="36" spans="1:11" ht="15" thickBot="1">
      <c r="A36" s="76"/>
      <c r="B36" s="35" t="s">
        <v>13</v>
      </c>
      <c r="C36" s="67">
        <v>46259</v>
      </c>
      <c r="D36" s="67">
        <v>46264</v>
      </c>
      <c r="E36" s="36"/>
      <c r="F36" s="36"/>
      <c r="G36" s="37">
        <v>0.9</v>
      </c>
      <c r="H36" s="35" t="s">
        <v>22</v>
      </c>
      <c r="I36" s="78"/>
      <c r="J36" s="72"/>
      <c r="K36" s="52"/>
    </row>
    <row r="37" spans="1:11" ht="15" thickBot="1">
      <c r="A37" s="75" t="s">
        <v>32</v>
      </c>
      <c r="B37" s="38" t="s">
        <v>11</v>
      </c>
      <c r="C37" s="65">
        <v>45723</v>
      </c>
      <c r="D37" s="65">
        <v>45729</v>
      </c>
      <c r="E37" s="39"/>
      <c r="F37" s="39"/>
      <c r="G37" s="40">
        <v>1</v>
      </c>
      <c r="H37" s="38" t="s">
        <v>22</v>
      </c>
      <c r="I37" s="77">
        <v>46295</v>
      </c>
      <c r="J37" s="71"/>
      <c r="K37" s="51"/>
    </row>
    <row r="38" spans="1:11" ht="15" thickBot="1">
      <c r="A38" s="76"/>
      <c r="B38" s="35" t="s">
        <v>13</v>
      </c>
      <c r="C38" s="66">
        <v>46264</v>
      </c>
      <c r="D38" s="66">
        <v>46275</v>
      </c>
      <c r="E38" s="36"/>
      <c r="F38" s="36"/>
      <c r="G38" s="37">
        <v>0.9</v>
      </c>
      <c r="H38" s="35" t="s">
        <v>22</v>
      </c>
      <c r="I38" s="78"/>
      <c r="J38" s="72"/>
      <c r="K38" s="52"/>
    </row>
    <row r="39" spans="1:11" ht="15" thickBot="1">
      <c r="A39" s="75" t="s">
        <v>91</v>
      </c>
      <c r="B39" s="38" t="s">
        <v>11</v>
      </c>
      <c r="C39" s="69">
        <v>46280</v>
      </c>
      <c r="D39" s="69">
        <v>46290</v>
      </c>
      <c r="E39" s="39"/>
      <c r="F39" s="39"/>
      <c r="G39" s="40">
        <v>0</v>
      </c>
      <c r="H39" s="38" t="s">
        <v>138</v>
      </c>
      <c r="I39" s="77">
        <v>46539</v>
      </c>
      <c r="J39" s="71"/>
      <c r="K39" s="51"/>
    </row>
    <row r="40" spans="1:11" ht="15" thickBot="1">
      <c r="A40" s="76"/>
      <c r="B40" s="55" t="s">
        <v>13</v>
      </c>
      <c r="C40" s="69">
        <v>46510</v>
      </c>
      <c r="D40" s="69">
        <v>46517</v>
      </c>
      <c r="E40" s="56"/>
      <c r="F40" s="56"/>
      <c r="G40" s="57">
        <v>0</v>
      </c>
      <c r="H40" s="55" t="s">
        <v>138</v>
      </c>
      <c r="I40" s="78"/>
      <c r="J40" s="72"/>
      <c r="K40" s="52"/>
    </row>
    <row r="41" spans="1:11" ht="15" thickBot="1">
      <c r="A41" s="75" t="s">
        <v>100</v>
      </c>
      <c r="B41" s="38" t="s">
        <v>11</v>
      </c>
      <c r="C41" s="70">
        <v>46225</v>
      </c>
      <c r="D41" s="70">
        <v>46237</v>
      </c>
      <c r="E41" s="39"/>
      <c r="F41" s="39"/>
      <c r="G41" s="40">
        <v>1</v>
      </c>
      <c r="H41" s="38" t="s">
        <v>22</v>
      </c>
      <c r="I41" s="77">
        <v>46237</v>
      </c>
      <c r="J41" s="71"/>
      <c r="K41" s="51"/>
    </row>
    <row r="42" spans="1:11" ht="15" thickBot="1">
      <c r="A42" s="76"/>
      <c r="B42" s="55" t="s">
        <v>13</v>
      </c>
      <c r="C42" s="69"/>
      <c r="D42" s="69"/>
      <c r="E42" s="56"/>
      <c r="F42" s="56"/>
      <c r="G42" s="57"/>
      <c r="H42" s="55"/>
      <c r="I42" s="78"/>
      <c r="J42" s="72"/>
      <c r="K42" s="52"/>
    </row>
    <row r="43" spans="1:11" ht="15" thickBot="1">
      <c r="A43" s="75" t="s">
        <v>136</v>
      </c>
      <c r="B43" s="38" t="s">
        <v>11</v>
      </c>
      <c r="C43" s="69">
        <v>46290</v>
      </c>
      <c r="D43" s="69">
        <v>46305</v>
      </c>
      <c r="E43" s="39"/>
      <c r="F43" s="39"/>
      <c r="G43" s="40">
        <v>0</v>
      </c>
      <c r="H43" s="38" t="s">
        <v>22</v>
      </c>
      <c r="I43" s="77">
        <v>46447</v>
      </c>
      <c r="J43" s="71"/>
      <c r="K43" s="51"/>
    </row>
    <row r="44" spans="1:11" ht="15" thickBot="1">
      <c r="A44" s="76"/>
      <c r="B44" s="55" t="s">
        <v>13</v>
      </c>
      <c r="C44" s="69">
        <v>46419</v>
      </c>
      <c r="D44" s="69">
        <v>46428</v>
      </c>
      <c r="E44" s="56"/>
      <c r="F44" s="56"/>
      <c r="G44" s="57">
        <v>0</v>
      </c>
      <c r="H44" s="55" t="s">
        <v>22</v>
      </c>
      <c r="I44" s="78"/>
      <c r="J44" s="72"/>
      <c r="K44" s="52"/>
    </row>
  </sheetData>
  <autoFilter ref="A4:K44" xr:uid="{00000000-0001-0000-0000-000000000000}"/>
  <mergeCells count="62">
    <mergeCell ref="A43:A44"/>
    <mergeCell ref="I43:I44"/>
    <mergeCell ref="J43:J44"/>
    <mergeCell ref="A39:A40"/>
    <mergeCell ref="I39:I40"/>
    <mergeCell ref="J39:J40"/>
    <mergeCell ref="A41:A42"/>
    <mergeCell ref="I41:I42"/>
    <mergeCell ref="J41:J42"/>
    <mergeCell ref="A35:A36"/>
    <mergeCell ref="I35:I36"/>
    <mergeCell ref="A1:K1"/>
    <mergeCell ref="I19:I20"/>
    <mergeCell ref="I11:I12"/>
    <mergeCell ref="A19:A20"/>
    <mergeCell ref="A11:A12"/>
    <mergeCell ref="A2:K2"/>
    <mergeCell ref="I13:I14"/>
    <mergeCell ref="A15:A16"/>
    <mergeCell ref="A7:A8"/>
    <mergeCell ref="I7:I8"/>
    <mergeCell ref="I15:I16"/>
    <mergeCell ref="A5:A6"/>
    <mergeCell ref="I5:I6"/>
    <mergeCell ref="I9:I10"/>
    <mergeCell ref="I33:I34"/>
    <mergeCell ref="A21:A22"/>
    <mergeCell ref="I21:I22"/>
    <mergeCell ref="A9:A10"/>
    <mergeCell ref="A13:A14"/>
    <mergeCell ref="I17:I18"/>
    <mergeCell ref="A17:A18"/>
    <mergeCell ref="J15:J16"/>
    <mergeCell ref="J17:J18"/>
    <mergeCell ref="J19:J20"/>
    <mergeCell ref="A37:A38"/>
    <mergeCell ref="I37:I38"/>
    <mergeCell ref="A23:A24"/>
    <mergeCell ref="I23:I24"/>
    <mergeCell ref="A31:A32"/>
    <mergeCell ref="I31:I32"/>
    <mergeCell ref="A25:A26"/>
    <mergeCell ref="I25:I26"/>
    <mergeCell ref="A27:A28"/>
    <mergeCell ref="I27:I28"/>
    <mergeCell ref="A29:A30"/>
    <mergeCell ref="I29:I30"/>
    <mergeCell ref="A33:A34"/>
    <mergeCell ref="J5:J6"/>
    <mergeCell ref="J7:J8"/>
    <mergeCell ref="J9:J10"/>
    <mergeCell ref="J11:J12"/>
    <mergeCell ref="J13:J14"/>
    <mergeCell ref="J37:J38"/>
    <mergeCell ref="J21:J22"/>
    <mergeCell ref="J23:J24"/>
    <mergeCell ref="J25:J26"/>
    <mergeCell ref="J27:J28"/>
    <mergeCell ref="J29:J30"/>
    <mergeCell ref="J31:J32"/>
    <mergeCell ref="J33:J34"/>
    <mergeCell ref="J35:J36"/>
  </mergeCells>
  <dataValidations count="1">
    <dataValidation type="list" allowBlank="1" sqref="H5:H48" xr:uid="{00000000-0002-0000-0000-000000000000}">
      <formula1>"Construction,Completed,Planning,On Hold"</formula1>
    </dataValidation>
  </dataValidations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89"/>
  <sheetViews>
    <sheetView topLeftCell="A3" zoomScale="85" zoomScaleNormal="85" workbookViewId="0">
      <pane xSplit="1" topLeftCell="B1" activePane="topRight" state="frozen"/>
      <selection pane="topRight" activeCell="M10" sqref="M10"/>
    </sheetView>
  </sheetViews>
  <sheetFormatPr defaultRowHeight="14.4"/>
  <cols>
    <col min="1" max="1" width="27.88671875" bestFit="1" customWidth="1"/>
    <col min="2" max="3" width="14" customWidth="1"/>
    <col min="4" max="6" width="16" customWidth="1"/>
    <col min="7" max="8" width="15" customWidth="1"/>
    <col min="9" max="9" width="14" customWidth="1"/>
    <col min="10" max="10" width="13" hidden="1" customWidth="1"/>
    <col min="11" max="11" width="16" hidden="1" customWidth="1"/>
    <col min="12" max="12" width="15" customWidth="1"/>
    <col min="13" max="13" width="18" customWidth="1"/>
    <col min="14" max="14" width="20" customWidth="1"/>
    <col min="15" max="15" width="31.44140625" bestFit="1" customWidth="1"/>
    <col min="16" max="16" width="18" customWidth="1"/>
    <col min="17" max="18" width="13" customWidth="1"/>
    <col min="19" max="19" width="18" customWidth="1"/>
    <col min="20" max="20" width="61" bestFit="1" customWidth="1"/>
    <col min="21" max="21" width="99.44140625" bestFit="1" customWidth="1"/>
    <col min="22" max="22" width="20.77734375" customWidth="1"/>
  </cols>
  <sheetData>
    <row r="1" spans="1:22" ht="17.399999999999999">
      <c r="A1" s="82" t="s">
        <v>33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</row>
    <row r="2" spans="1:22">
      <c r="A2" s="84" t="s">
        <v>34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</row>
    <row r="4" spans="1:22" ht="41.4">
      <c r="A4" s="1" t="s">
        <v>2</v>
      </c>
      <c r="B4" s="1" t="s">
        <v>7</v>
      </c>
      <c r="C4" s="1" t="s">
        <v>66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</v>
      </c>
      <c r="R4" s="1" t="s">
        <v>5</v>
      </c>
      <c r="S4" s="1" t="s">
        <v>48</v>
      </c>
      <c r="T4" s="1" t="s">
        <v>9</v>
      </c>
      <c r="U4" s="1" t="s">
        <v>69</v>
      </c>
      <c r="V4" s="1" t="s">
        <v>74</v>
      </c>
    </row>
    <row r="5" spans="1:22" s="9" customFormat="1" ht="18.600000000000001">
      <c r="A5" s="14" t="s">
        <v>10</v>
      </c>
      <c r="B5" s="14" t="s">
        <v>22</v>
      </c>
      <c r="C5" s="14" t="s">
        <v>67</v>
      </c>
      <c r="D5" s="15">
        <v>0.9</v>
      </c>
      <c r="E5" s="16">
        <v>326786.36</v>
      </c>
      <c r="F5" s="16">
        <f>P5</f>
        <v>130000</v>
      </c>
      <c r="G5" s="16"/>
      <c r="H5" s="16">
        <f>E5*0.9</f>
        <v>294107.72399999999</v>
      </c>
      <c r="I5" s="17">
        <v>12</v>
      </c>
      <c r="J5" s="17"/>
      <c r="K5" s="14"/>
      <c r="L5" s="16">
        <v>5198</v>
      </c>
      <c r="M5" s="16"/>
      <c r="N5" s="16">
        <v>0</v>
      </c>
      <c r="O5" s="14" t="s">
        <v>49</v>
      </c>
      <c r="P5" s="18">
        <v>130000</v>
      </c>
      <c r="Q5" s="19">
        <f>'[1]Master Schedule'!C5</f>
        <v>46084</v>
      </c>
      <c r="R5" s="19">
        <v>46106</v>
      </c>
      <c r="S5" s="14"/>
      <c r="T5" s="25" t="s">
        <v>50</v>
      </c>
      <c r="U5" s="28" t="s">
        <v>80</v>
      </c>
      <c r="V5" s="19"/>
    </row>
    <row r="6" spans="1:22" s="9" customFormat="1" ht="18.600000000000001">
      <c r="A6" s="14" t="s">
        <v>14</v>
      </c>
      <c r="B6" s="14" t="s">
        <v>15</v>
      </c>
      <c r="C6" s="14" t="s">
        <v>67</v>
      </c>
      <c r="D6" s="15">
        <v>0</v>
      </c>
      <c r="E6" s="16">
        <v>409599.64</v>
      </c>
      <c r="F6" s="16">
        <f>P6*0.3</f>
        <v>41833.799999999996</v>
      </c>
      <c r="G6" s="16"/>
      <c r="H6" s="16">
        <f t="shared" ref="H6:H13" si="0">E6*0.4</f>
        <v>163839.85600000003</v>
      </c>
      <c r="I6" s="17">
        <v>0</v>
      </c>
      <c r="J6" s="17"/>
      <c r="K6" s="14"/>
      <c r="L6" s="16">
        <v>6972.5</v>
      </c>
      <c r="M6" s="16"/>
      <c r="N6" s="16">
        <v>0</v>
      </c>
      <c r="O6" s="14" t="s">
        <v>49</v>
      </c>
      <c r="P6" s="18">
        <v>139446</v>
      </c>
      <c r="Q6" s="19">
        <f>'[1]Master Schedule'!C6</f>
        <v>46189</v>
      </c>
      <c r="R6" s="19">
        <v>46264</v>
      </c>
      <c r="S6" s="14"/>
      <c r="T6" s="25" t="s">
        <v>99</v>
      </c>
      <c r="U6" s="25"/>
      <c r="V6" s="19"/>
    </row>
    <row r="7" spans="1:22" s="9" customFormat="1" ht="18.600000000000001">
      <c r="A7" s="14" t="s">
        <v>17</v>
      </c>
      <c r="B7" s="14" t="s">
        <v>12</v>
      </c>
      <c r="C7" s="14" t="s">
        <v>67</v>
      </c>
      <c r="D7" s="15">
        <v>1</v>
      </c>
      <c r="E7" s="16">
        <v>576317.9</v>
      </c>
      <c r="F7" s="16">
        <f t="shared" ref="F7:F18" si="1">P7</f>
        <v>280000</v>
      </c>
      <c r="G7" s="16">
        <v>603</v>
      </c>
      <c r="H7" s="16">
        <f>E7*1</f>
        <v>576317.9</v>
      </c>
      <c r="I7" s="17">
        <v>20</v>
      </c>
      <c r="J7" s="17"/>
      <c r="K7" s="14"/>
      <c r="L7" s="16">
        <v>12045</v>
      </c>
      <c r="M7" s="16"/>
      <c r="N7" s="16">
        <v>0</v>
      </c>
      <c r="O7" s="14" t="s">
        <v>49</v>
      </c>
      <c r="P7" s="18">
        <v>280000</v>
      </c>
      <c r="Q7" s="19">
        <v>46102</v>
      </c>
      <c r="R7" s="19">
        <v>46219</v>
      </c>
      <c r="S7" s="14"/>
      <c r="T7" s="25" t="s">
        <v>52</v>
      </c>
      <c r="U7" s="28" t="s">
        <v>81</v>
      </c>
      <c r="V7" s="19"/>
    </row>
    <row r="8" spans="1:22" s="9" customFormat="1" ht="18.600000000000001">
      <c r="A8" s="14" t="s">
        <v>18</v>
      </c>
      <c r="B8" s="14" t="s">
        <v>12</v>
      </c>
      <c r="C8" s="14" t="s">
        <v>67</v>
      </c>
      <c r="D8" s="15">
        <v>1</v>
      </c>
      <c r="E8" s="16">
        <v>322961.08</v>
      </c>
      <c r="F8" s="16">
        <f t="shared" si="1"/>
        <v>89000</v>
      </c>
      <c r="G8" s="16">
        <v>715</v>
      </c>
      <c r="H8" s="16">
        <f>E8*1</f>
        <v>322961.08</v>
      </c>
      <c r="I8" s="17">
        <v>7</v>
      </c>
      <c r="J8" s="17"/>
      <c r="K8" s="14"/>
      <c r="L8" s="16">
        <v>24166</v>
      </c>
      <c r="M8" s="16"/>
      <c r="N8" s="16">
        <v>1444</v>
      </c>
      <c r="O8" s="14" t="s">
        <v>53</v>
      </c>
      <c r="P8" s="18">
        <v>89000</v>
      </c>
      <c r="Q8" s="19">
        <v>46171</v>
      </c>
      <c r="R8" s="19">
        <v>46244</v>
      </c>
      <c r="S8" s="14"/>
      <c r="T8" s="25"/>
      <c r="U8" s="30" t="s">
        <v>82</v>
      </c>
      <c r="V8" s="19">
        <v>46134</v>
      </c>
    </row>
    <row r="9" spans="1:22" s="9" customFormat="1" ht="18.600000000000001">
      <c r="A9" s="14" t="s">
        <v>19</v>
      </c>
      <c r="B9" s="14" t="s">
        <v>15</v>
      </c>
      <c r="C9" s="14" t="s">
        <v>67</v>
      </c>
      <c r="D9" s="15">
        <v>0</v>
      </c>
      <c r="E9" s="16">
        <v>630619.19999999995</v>
      </c>
      <c r="F9" s="16" t="str">
        <f t="shared" si="1"/>
        <v>-</v>
      </c>
      <c r="G9" s="16"/>
      <c r="H9" s="16">
        <f>E9*0.4</f>
        <v>252247.67999999999</v>
      </c>
      <c r="I9" s="17">
        <v>0</v>
      </c>
      <c r="J9" s="17"/>
      <c r="K9" s="14"/>
      <c r="L9" s="16"/>
      <c r="M9" s="16"/>
      <c r="N9" s="16">
        <v>0</v>
      </c>
      <c r="O9" s="14"/>
      <c r="P9" s="18" t="s">
        <v>16</v>
      </c>
      <c r="Q9" s="19">
        <v>46388</v>
      </c>
      <c r="R9" s="19">
        <v>46447</v>
      </c>
      <c r="S9" s="14"/>
      <c r="T9" s="25"/>
      <c r="U9" s="25"/>
      <c r="V9" s="19"/>
    </row>
    <row r="10" spans="1:22" s="9" customFormat="1" ht="18.600000000000001">
      <c r="A10" s="9" t="s">
        <v>20</v>
      </c>
      <c r="B10" s="14" t="s">
        <v>12</v>
      </c>
      <c r="C10" s="14" t="s">
        <v>67</v>
      </c>
      <c r="D10" s="15">
        <v>1</v>
      </c>
      <c r="E10" s="16">
        <v>338450.2</v>
      </c>
      <c r="F10" s="16">
        <f>P10*1</f>
        <v>138000</v>
      </c>
      <c r="G10" s="16">
        <v>470</v>
      </c>
      <c r="H10" s="16">
        <f>E10*1</f>
        <v>338450.2</v>
      </c>
      <c r="I10" s="17">
        <v>12</v>
      </c>
      <c r="J10" s="17"/>
      <c r="K10" s="14"/>
      <c r="L10" s="16">
        <v>5783</v>
      </c>
      <c r="M10" s="16"/>
      <c r="N10" s="16">
        <v>787</v>
      </c>
      <c r="O10" s="14" t="s">
        <v>53</v>
      </c>
      <c r="P10" s="18">
        <v>138000</v>
      </c>
      <c r="Q10" s="19">
        <f>'[1]Master Schedule'!C10</f>
        <v>46168</v>
      </c>
      <c r="R10" s="19">
        <v>46199</v>
      </c>
      <c r="S10" s="14"/>
      <c r="T10" s="26"/>
      <c r="U10" s="30" t="s">
        <v>82</v>
      </c>
      <c r="V10" s="19">
        <v>46141</v>
      </c>
    </row>
    <row r="11" spans="1:22" s="9" customFormat="1" ht="18.600000000000001">
      <c r="A11" s="9" t="s">
        <v>21</v>
      </c>
      <c r="B11" s="14" t="s">
        <v>22</v>
      </c>
      <c r="C11" s="14" t="s">
        <v>67</v>
      </c>
      <c r="D11" s="15">
        <v>0.7</v>
      </c>
      <c r="E11" s="16">
        <v>1156111.18</v>
      </c>
      <c r="F11" s="16">
        <f>P11*0.8</f>
        <v>224000</v>
      </c>
      <c r="G11" s="16">
        <v>840</v>
      </c>
      <c r="H11" s="16">
        <f>E11*0.7</f>
        <v>809277.82599999988</v>
      </c>
      <c r="I11" s="17">
        <v>10</v>
      </c>
      <c r="J11" s="17"/>
      <c r="L11" s="16">
        <v>26094</v>
      </c>
      <c r="M11" s="16"/>
      <c r="N11" s="16">
        <v>46175</v>
      </c>
      <c r="O11" s="9" t="s">
        <v>54</v>
      </c>
      <c r="P11" s="18">
        <v>280000</v>
      </c>
      <c r="Q11" s="19">
        <f>'[1]Master Schedule'!C11</f>
        <v>46184</v>
      </c>
      <c r="R11" s="19">
        <v>46305</v>
      </c>
      <c r="S11" s="14"/>
      <c r="T11" s="26" t="s">
        <v>127</v>
      </c>
      <c r="U11" s="30" t="s">
        <v>83</v>
      </c>
      <c r="V11" s="19">
        <v>46147</v>
      </c>
    </row>
    <row r="12" spans="1:22" s="9" customFormat="1" ht="18.600000000000001">
      <c r="A12" s="9" t="s">
        <v>23</v>
      </c>
      <c r="B12" s="14" t="s">
        <v>15</v>
      </c>
      <c r="C12" s="14" t="s">
        <v>67</v>
      </c>
      <c r="D12" s="15">
        <v>0</v>
      </c>
      <c r="E12" s="16">
        <v>594114</v>
      </c>
      <c r="F12" s="16">
        <f>P12*0</f>
        <v>0</v>
      </c>
      <c r="G12" s="16"/>
      <c r="H12" s="16">
        <f t="shared" si="0"/>
        <v>237645.6</v>
      </c>
      <c r="I12" s="17">
        <v>0</v>
      </c>
      <c r="J12" s="17"/>
      <c r="K12" s="14"/>
      <c r="L12" s="16">
        <v>20261</v>
      </c>
      <c r="M12" s="16"/>
      <c r="N12" s="16">
        <v>20018</v>
      </c>
      <c r="O12" s="9" t="s">
        <v>55</v>
      </c>
      <c r="P12" s="18">
        <v>233247.9</v>
      </c>
      <c r="Q12" s="19">
        <f>'[1]Master Schedule'!C12</f>
        <v>46200</v>
      </c>
      <c r="R12" s="19">
        <v>46336</v>
      </c>
      <c r="S12" s="14"/>
      <c r="T12" s="26" t="s">
        <v>64</v>
      </c>
      <c r="U12" s="25"/>
      <c r="V12" s="19">
        <v>46331</v>
      </c>
    </row>
    <row r="13" spans="1:22" s="9" customFormat="1" ht="18.600000000000001">
      <c r="A13" s="9" t="s">
        <v>24</v>
      </c>
      <c r="B13" s="14" t="s">
        <v>15</v>
      </c>
      <c r="C13" s="14" t="s">
        <v>67</v>
      </c>
      <c r="D13" s="15">
        <v>0</v>
      </c>
      <c r="E13" s="16">
        <v>327102.8</v>
      </c>
      <c r="F13" s="16">
        <f>P13*0.3</f>
        <v>36000</v>
      </c>
      <c r="H13" s="16">
        <f t="shared" si="0"/>
        <v>130841.12</v>
      </c>
      <c r="I13" s="20">
        <v>3</v>
      </c>
      <c r="K13" s="14"/>
      <c r="L13" s="16">
        <v>14327</v>
      </c>
      <c r="N13" s="9">
        <v>4164</v>
      </c>
      <c r="O13" s="14" t="s">
        <v>49</v>
      </c>
      <c r="P13" s="10">
        <v>120000</v>
      </c>
      <c r="Q13" s="19">
        <v>46235</v>
      </c>
      <c r="R13" s="11">
        <v>46336</v>
      </c>
      <c r="T13" s="25" t="s">
        <v>128</v>
      </c>
      <c r="U13" s="30" t="s">
        <v>84</v>
      </c>
      <c r="V13" s="19">
        <v>46147</v>
      </c>
    </row>
    <row r="14" spans="1:22" s="9" customFormat="1" ht="18.600000000000001">
      <c r="A14" s="9" t="s">
        <v>25</v>
      </c>
      <c r="B14" s="14" t="s">
        <v>22</v>
      </c>
      <c r="C14" s="14" t="s">
        <v>67</v>
      </c>
      <c r="D14" s="15">
        <v>1</v>
      </c>
      <c r="E14" s="16">
        <v>1707089</v>
      </c>
      <c r="F14" s="16">
        <f>P14*0.8</f>
        <v>525343.22400000005</v>
      </c>
      <c r="G14" s="16">
        <f>215+146.7</f>
        <v>361.7</v>
      </c>
      <c r="H14" s="16">
        <f>E14*0.8</f>
        <v>1365671.2000000002</v>
      </c>
      <c r="I14" s="20">
        <v>10</v>
      </c>
      <c r="K14" s="14"/>
      <c r="L14" s="16">
        <v>54190</v>
      </c>
      <c r="N14" s="9">
        <v>20695.969999999972</v>
      </c>
      <c r="O14" s="9" t="s">
        <v>55</v>
      </c>
      <c r="P14" s="10">
        <v>656679.03</v>
      </c>
      <c r="Q14" s="19">
        <v>46229</v>
      </c>
      <c r="R14" s="11">
        <v>46237</v>
      </c>
      <c r="T14" s="26" t="s">
        <v>125</v>
      </c>
      <c r="U14" s="28" t="s">
        <v>70</v>
      </c>
      <c r="V14" s="19">
        <v>46169</v>
      </c>
    </row>
    <row r="15" spans="1:22" s="9" customFormat="1" ht="18.600000000000001">
      <c r="A15" s="9" t="s">
        <v>26</v>
      </c>
      <c r="B15" s="14" t="s">
        <v>12</v>
      </c>
      <c r="C15" s="14" t="s">
        <v>67</v>
      </c>
      <c r="D15" s="15">
        <v>1</v>
      </c>
      <c r="E15" s="16">
        <v>80000</v>
      </c>
      <c r="F15" s="16">
        <f>P15</f>
        <v>40000</v>
      </c>
      <c r="G15" s="16">
        <v>489</v>
      </c>
      <c r="H15" s="16">
        <f>E15*1</f>
        <v>80000</v>
      </c>
      <c r="I15" s="20">
        <v>4</v>
      </c>
      <c r="K15" s="14"/>
      <c r="L15" s="16">
        <v>0</v>
      </c>
      <c r="N15" s="9">
        <v>0</v>
      </c>
      <c r="O15" s="9" t="s">
        <v>54</v>
      </c>
      <c r="P15" s="10">
        <v>40000</v>
      </c>
      <c r="Q15" s="19">
        <f>'[1]Master Schedule'!C15</f>
        <v>46168</v>
      </c>
      <c r="R15" s="11">
        <v>46188</v>
      </c>
      <c r="T15" s="27"/>
      <c r="U15" s="25"/>
      <c r="V15" s="19">
        <v>46169</v>
      </c>
    </row>
    <row r="16" spans="1:22" s="9" customFormat="1" ht="18.600000000000001">
      <c r="A16" s="9" t="s">
        <v>27</v>
      </c>
      <c r="B16" s="14" t="s">
        <v>22</v>
      </c>
      <c r="C16" s="14" t="s">
        <v>67</v>
      </c>
      <c r="D16" s="15">
        <v>0</v>
      </c>
      <c r="E16" s="16">
        <v>1199960.02</v>
      </c>
      <c r="F16" s="16">
        <f>P16*0</f>
        <v>0</v>
      </c>
      <c r="G16" s="16"/>
      <c r="H16" s="16">
        <f>E16*0.4</f>
        <v>479984.00800000003</v>
      </c>
      <c r="I16" s="20">
        <v>0</v>
      </c>
      <c r="L16" s="16">
        <v>27535</v>
      </c>
      <c r="N16" s="9">
        <v>34414</v>
      </c>
      <c r="O16" s="9" t="s">
        <v>56</v>
      </c>
      <c r="P16" s="10">
        <v>430000</v>
      </c>
      <c r="Q16" s="19">
        <f>'[1]Master Schedule'!C16</f>
        <v>46198</v>
      </c>
      <c r="R16" s="11">
        <v>46321</v>
      </c>
      <c r="T16" s="25" t="s">
        <v>51</v>
      </c>
      <c r="U16" s="28" t="s">
        <v>85</v>
      </c>
      <c r="V16" s="19">
        <v>46182</v>
      </c>
    </row>
    <row r="17" spans="1:22" s="9" customFormat="1" ht="18.600000000000001">
      <c r="A17" s="9" t="s">
        <v>28</v>
      </c>
      <c r="B17" s="14" t="s">
        <v>12</v>
      </c>
      <c r="C17" s="14" t="s">
        <v>67</v>
      </c>
      <c r="D17" s="15">
        <v>1</v>
      </c>
      <c r="E17" s="16">
        <v>600000</v>
      </c>
      <c r="F17" s="16">
        <f>P17</f>
        <v>234861</v>
      </c>
      <c r="G17" s="16">
        <v>735</v>
      </c>
      <c r="H17" s="16">
        <f>E17*1</f>
        <v>600000</v>
      </c>
      <c r="I17" s="21">
        <v>10</v>
      </c>
      <c r="K17" s="14"/>
      <c r="L17" s="16">
        <v>10000</v>
      </c>
      <c r="N17" s="9">
        <v>0</v>
      </c>
      <c r="O17" s="9" t="s">
        <v>54</v>
      </c>
      <c r="P17" s="10">
        <v>234861</v>
      </c>
      <c r="Q17" s="19">
        <v>46139</v>
      </c>
      <c r="R17" s="11">
        <v>46188</v>
      </c>
      <c r="T17" s="27"/>
      <c r="U17" s="25"/>
      <c r="V17" s="19">
        <v>46079</v>
      </c>
    </row>
    <row r="18" spans="1:22" s="9" customFormat="1" ht="18.600000000000001">
      <c r="A18" s="9" t="s">
        <v>29</v>
      </c>
      <c r="B18" s="14" t="s">
        <v>12</v>
      </c>
      <c r="C18" s="14" t="s">
        <v>67</v>
      </c>
      <c r="D18" s="15">
        <v>1</v>
      </c>
      <c r="E18" s="16">
        <v>317648</v>
      </c>
      <c r="F18" s="16">
        <f t="shared" si="1"/>
        <v>119980</v>
      </c>
      <c r="G18" s="16"/>
      <c r="H18" s="16">
        <f>E18*1</f>
        <v>317648</v>
      </c>
      <c r="I18" s="21">
        <v>10</v>
      </c>
      <c r="K18" s="14"/>
      <c r="L18" s="16">
        <v>8760</v>
      </c>
      <c r="N18" s="9">
        <v>0</v>
      </c>
      <c r="O18" s="14" t="s">
        <v>53</v>
      </c>
      <c r="P18" s="10">
        <v>119980</v>
      </c>
      <c r="Q18" s="19">
        <v>46133</v>
      </c>
      <c r="R18" s="11">
        <v>46200</v>
      </c>
      <c r="T18" s="27"/>
      <c r="U18" s="25"/>
      <c r="V18" s="19"/>
    </row>
    <row r="19" spans="1:22" s="9" customFormat="1" ht="18.600000000000001">
      <c r="A19" s="9" t="s">
        <v>30</v>
      </c>
      <c r="B19" s="14" t="s">
        <v>22</v>
      </c>
      <c r="C19" s="14" t="s">
        <v>67</v>
      </c>
      <c r="D19" s="15">
        <v>0</v>
      </c>
      <c r="E19" s="16">
        <v>832813</v>
      </c>
      <c r="F19" s="16">
        <f>P19*0.3</f>
        <v>84000</v>
      </c>
      <c r="G19" s="16">
        <v>630</v>
      </c>
      <c r="H19" s="16">
        <f>455555</f>
        <v>455555</v>
      </c>
      <c r="I19" s="21">
        <v>3</v>
      </c>
      <c r="K19" s="14"/>
      <c r="L19" s="16">
        <v>35070</v>
      </c>
      <c r="N19" s="9">
        <v>7702</v>
      </c>
      <c r="O19" s="14" t="s">
        <v>53</v>
      </c>
      <c r="P19" s="10">
        <v>280000</v>
      </c>
      <c r="Q19" s="19">
        <f>'Master Schedule'!C33</f>
        <v>46237</v>
      </c>
      <c r="R19" s="11">
        <v>46295</v>
      </c>
      <c r="T19" s="26" t="s">
        <v>92</v>
      </c>
      <c r="U19" s="31" t="s">
        <v>86</v>
      </c>
      <c r="V19" s="19">
        <v>46203</v>
      </c>
    </row>
    <row r="20" spans="1:22" s="9" customFormat="1" ht="18.600000000000001">
      <c r="A20" s="9" t="s">
        <v>31</v>
      </c>
      <c r="B20" s="22" t="s">
        <v>22</v>
      </c>
      <c r="C20" s="14" t="s">
        <v>67</v>
      </c>
      <c r="D20" s="15">
        <v>0.9</v>
      </c>
      <c r="E20" s="23">
        <v>341236.34</v>
      </c>
      <c r="F20" s="24"/>
      <c r="G20" s="9">
        <v>255</v>
      </c>
      <c r="H20" s="12"/>
      <c r="I20" s="9">
        <v>3</v>
      </c>
      <c r="L20" s="9">
        <v>0</v>
      </c>
      <c r="N20" s="9">
        <v>0</v>
      </c>
      <c r="O20" s="9" t="s">
        <v>142</v>
      </c>
      <c r="P20" s="10">
        <v>228548</v>
      </c>
      <c r="Q20" s="19">
        <v>45717</v>
      </c>
      <c r="R20" s="19">
        <v>45737</v>
      </c>
      <c r="T20" s="26" t="s">
        <v>65</v>
      </c>
      <c r="U20" s="25"/>
      <c r="V20" s="19"/>
    </row>
    <row r="21" spans="1:22" s="9" customFormat="1" ht="18.600000000000001">
      <c r="A21" s="9" t="s">
        <v>32</v>
      </c>
      <c r="B21" s="22" t="s">
        <v>22</v>
      </c>
      <c r="C21" s="14" t="s">
        <v>67</v>
      </c>
      <c r="D21" s="15">
        <v>0.9</v>
      </c>
      <c r="E21" s="16">
        <v>666700</v>
      </c>
      <c r="F21" s="24"/>
      <c r="I21" s="9">
        <v>6</v>
      </c>
      <c r="L21" s="9">
        <v>0</v>
      </c>
      <c r="N21" s="9">
        <v>0</v>
      </c>
      <c r="O21" s="9" t="s">
        <v>142</v>
      </c>
      <c r="P21" s="10">
        <v>224227</v>
      </c>
      <c r="Q21" s="19">
        <v>45717</v>
      </c>
      <c r="R21" s="19">
        <v>45737</v>
      </c>
      <c r="T21" s="26" t="s">
        <v>126</v>
      </c>
      <c r="V21" s="19"/>
    </row>
    <row r="22" spans="1:22" s="9" customFormat="1" ht="18.600000000000001">
      <c r="A22" s="9" t="s">
        <v>87</v>
      </c>
      <c r="B22" s="22" t="s">
        <v>12</v>
      </c>
      <c r="C22" s="14" t="s">
        <v>89</v>
      </c>
      <c r="D22" s="15"/>
      <c r="F22" s="24"/>
      <c r="G22" s="9">
        <f>2484+107</f>
        <v>2591</v>
      </c>
      <c r="M22" s="9">
        <v>10000</v>
      </c>
      <c r="P22" s="10"/>
      <c r="Q22" s="19"/>
      <c r="R22" s="19"/>
      <c r="T22" s="26" t="s">
        <v>88</v>
      </c>
      <c r="V22" s="19"/>
    </row>
    <row r="23" spans="1:22" s="9" customFormat="1" ht="18.600000000000001">
      <c r="A23" s="9" t="s">
        <v>91</v>
      </c>
      <c r="B23" s="14" t="s">
        <v>22</v>
      </c>
      <c r="C23" s="14" t="s">
        <v>67</v>
      </c>
      <c r="D23" s="15">
        <v>0</v>
      </c>
      <c r="E23" s="16">
        <v>460000</v>
      </c>
      <c r="F23" s="16">
        <v>0</v>
      </c>
      <c r="G23" s="16"/>
      <c r="H23" s="16">
        <f>E23*0.5</f>
        <v>230000</v>
      </c>
      <c r="I23" s="21"/>
      <c r="K23" s="14"/>
      <c r="L23" s="16">
        <v>15000</v>
      </c>
      <c r="O23" s="9" t="s">
        <v>54</v>
      </c>
      <c r="P23" s="10">
        <v>215000</v>
      </c>
      <c r="Q23" s="19"/>
      <c r="R23" s="11"/>
      <c r="T23" s="26"/>
      <c r="U23" s="31"/>
      <c r="V23" s="19">
        <v>46209</v>
      </c>
    </row>
    <row r="24" spans="1:22" s="9" customFormat="1" ht="18.600000000000001">
      <c r="A24" s="9" t="s">
        <v>100</v>
      </c>
      <c r="B24" s="14" t="s">
        <v>22</v>
      </c>
      <c r="C24" s="14" t="s">
        <v>67</v>
      </c>
      <c r="D24" s="15">
        <v>1</v>
      </c>
      <c r="E24" s="16">
        <v>203880</v>
      </c>
      <c r="F24" s="16">
        <v>0</v>
      </c>
      <c r="G24" s="16">
        <f>400+140</f>
        <v>540</v>
      </c>
      <c r="H24" s="16">
        <f>E24*0.4</f>
        <v>81552</v>
      </c>
      <c r="I24" s="21">
        <v>6</v>
      </c>
      <c r="K24" s="14"/>
      <c r="L24" s="16">
        <v>13500</v>
      </c>
      <c r="N24" s="54">
        <v>497</v>
      </c>
      <c r="O24" s="9" t="s">
        <v>54</v>
      </c>
      <c r="P24" s="10">
        <v>58000</v>
      </c>
      <c r="Q24" s="19">
        <v>46225</v>
      </c>
      <c r="R24" s="11">
        <v>46234</v>
      </c>
      <c r="T24" s="26" t="s">
        <v>140</v>
      </c>
      <c r="U24" s="31" t="s">
        <v>129</v>
      </c>
      <c r="V24" s="19">
        <v>46213</v>
      </c>
    </row>
    <row r="25" spans="1:22" s="9" customFormat="1" ht="18.600000000000001">
      <c r="A25" s="9" t="s">
        <v>136</v>
      </c>
      <c r="B25" s="9" t="s">
        <v>22</v>
      </c>
      <c r="C25" s="9" t="s">
        <v>67</v>
      </c>
      <c r="D25" s="64">
        <v>0</v>
      </c>
      <c r="E25" s="12">
        <v>799875</v>
      </c>
      <c r="F25" s="9">
        <v>0</v>
      </c>
      <c r="G25" s="9">
        <v>0</v>
      </c>
      <c r="H25" s="9">
        <f>E25*0.4</f>
        <v>319950</v>
      </c>
      <c r="L25" s="9">
        <v>22399</v>
      </c>
      <c r="N25" s="9">
        <v>0</v>
      </c>
      <c r="O25" s="9" t="s">
        <v>54</v>
      </c>
      <c r="P25" s="12">
        <v>384843</v>
      </c>
      <c r="T25" s="9" t="s">
        <v>137</v>
      </c>
      <c r="V25" s="19"/>
    </row>
    <row r="26" spans="1:22" s="13" customFormat="1" ht="18.600000000000001">
      <c r="V26" s="19"/>
    </row>
    <row r="27" spans="1:22" s="13" customFormat="1" ht="18.600000000000001">
      <c r="V27" s="19"/>
    </row>
    <row r="28" spans="1:22" s="13" customFormat="1" ht="18.600000000000001">
      <c r="V28" s="19"/>
    </row>
    <row r="29" spans="1:22" s="13" customFormat="1" ht="18.600000000000001">
      <c r="V29" s="19"/>
    </row>
    <row r="30" spans="1:22" s="13" customFormat="1" ht="18.600000000000001">
      <c r="V30" s="19"/>
    </row>
    <row r="31" spans="1:22" s="13" customFormat="1" ht="18.600000000000001">
      <c r="V31" s="19"/>
    </row>
    <row r="32" spans="1:22" s="13" customFormat="1" ht="18.600000000000001">
      <c r="V32" s="19"/>
    </row>
    <row r="33" spans="22:22" s="13" customFormat="1" ht="18.600000000000001">
      <c r="V33" s="19"/>
    </row>
    <row r="34" spans="22:22" s="13" customFormat="1" ht="18.600000000000001">
      <c r="V34" s="19"/>
    </row>
    <row r="35" spans="22:22" s="13" customFormat="1" ht="18.600000000000001">
      <c r="V35" s="19"/>
    </row>
    <row r="36" spans="22:22" s="13" customFormat="1" ht="18.600000000000001">
      <c r="V36" s="19"/>
    </row>
    <row r="37" spans="22:22" s="13" customFormat="1" ht="18.600000000000001">
      <c r="V37" s="19"/>
    </row>
    <row r="38" spans="22:22" s="13" customFormat="1" ht="18.600000000000001">
      <c r="V38" s="19"/>
    </row>
    <row r="39" spans="22:22" s="13" customFormat="1" ht="18.600000000000001">
      <c r="V39" s="19"/>
    </row>
    <row r="40" spans="22:22" s="13" customFormat="1" ht="18.600000000000001">
      <c r="V40" s="19"/>
    </row>
    <row r="41" spans="22:22" s="8" customFormat="1" ht="18.600000000000001">
      <c r="V41" s="19"/>
    </row>
    <row r="42" spans="22:22" s="8" customFormat="1" ht="18.600000000000001">
      <c r="V42" s="19"/>
    </row>
    <row r="43" spans="22:22" s="8" customFormat="1" ht="18.600000000000001">
      <c r="V43" s="19"/>
    </row>
    <row r="44" spans="22:22" s="8" customFormat="1" ht="18.600000000000001">
      <c r="V44" s="19"/>
    </row>
    <row r="45" spans="22:22" s="8" customFormat="1" ht="18.600000000000001">
      <c r="V45" s="19"/>
    </row>
    <row r="46" spans="22:22" s="8" customFormat="1" ht="18.600000000000001">
      <c r="V46" s="19"/>
    </row>
    <row r="47" spans="22:22" s="8" customFormat="1" ht="18.600000000000001">
      <c r="V47" s="19"/>
    </row>
    <row r="48" spans="22:22" s="8" customFormat="1" ht="18.600000000000001">
      <c r="V48" s="19"/>
    </row>
    <row r="49" spans="22:22" s="8" customFormat="1" ht="18.600000000000001">
      <c r="V49" s="19"/>
    </row>
    <row r="50" spans="22:22" s="8" customFormat="1" ht="18.600000000000001">
      <c r="V50" s="19"/>
    </row>
    <row r="51" spans="22:22" s="8" customFormat="1" ht="18.600000000000001">
      <c r="V51" s="19"/>
    </row>
    <row r="52" spans="22:22" s="8" customFormat="1" ht="18.600000000000001">
      <c r="V52" s="19"/>
    </row>
    <row r="53" spans="22:22" s="8" customFormat="1" ht="18.600000000000001">
      <c r="V53" s="19"/>
    </row>
    <row r="54" spans="22:22" s="8" customFormat="1" ht="18.600000000000001">
      <c r="V54" s="19"/>
    </row>
    <row r="55" spans="22:22" s="8" customFormat="1" ht="18.600000000000001">
      <c r="V55" s="19"/>
    </row>
    <row r="56" spans="22:22" s="8" customFormat="1" ht="18.600000000000001">
      <c r="V56" s="19"/>
    </row>
    <row r="57" spans="22:22" s="8" customFormat="1" ht="18.600000000000001">
      <c r="V57" s="19"/>
    </row>
    <row r="58" spans="22:22" s="8" customFormat="1" ht="18.600000000000001">
      <c r="V58" s="19"/>
    </row>
    <row r="59" spans="22:22" s="8" customFormat="1" ht="18.600000000000001">
      <c r="V59" s="19"/>
    </row>
    <row r="60" spans="22:22" s="8" customFormat="1" ht="18.600000000000001">
      <c r="V60" s="19"/>
    </row>
    <row r="61" spans="22:22" s="8" customFormat="1" ht="18.600000000000001">
      <c r="V61" s="19"/>
    </row>
    <row r="62" spans="22:22" s="8" customFormat="1" ht="18.600000000000001">
      <c r="V62" s="19"/>
    </row>
    <row r="63" spans="22:22" s="8" customFormat="1" ht="18.600000000000001">
      <c r="V63" s="19"/>
    </row>
    <row r="64" spans="22:22" s="8" customFormat="1" ht="18.600000000000001">
      <c r="V64" s="19"/>
    </row>
    <row r="65" spans="22:22" s="8" customFormat="1" ht="18.600000000000001">
      <c r="V65" s="19"/>
    </row>
    <row r="66" spans="22:22" s="8" customFormat="1" ht="18.600000000000001">
      <c r="V66" s="19"/>
    </row>
    <row r="67" spans="22:22" s="8" customFormat="1" ht="18.600000000000001">
      <c r="V67" s="19"/>
    </row>
    <row r="68" spans="22:22" s="8" customFormat="1" ht="18.600000000000001">
      <c r="V68" s="19"/>
    </row>
    <row r="69" spans="22:22" s="8" customFormat="1" ht="18.600000000000001">
      <c r="V69" s="19"/>
    </row>
    <row r="70" spans="22:22" s="8" customFormat="1" ht="18.600000000000001">
      <c r="V70" s="19"/>
    </row>
    <row r="71" spans="22:22" s="8" customFormat="1" ht="18.600000000000001">
      <c r="V71" s="19"/>
    </row>
    <row r="72" spans="22:22" s="8" customFormat="1" ht="18.600000000000001">
      <c r="V72" s="19"/>
    </row>
    <row r="73" spans="22:22" s="8" customFormat="1" ht="18.600000000000001">
      <c r="V73" s="19"/>
    </row>
    <row r="74" spans="22:22" s="8" customFormat="1" ht="18.600000000000001">
      <c r="V74" s="19"/>
    </row>
    <row r="75" spans="22:22" s="8" customFormat="1" ht="18.600000000000001">
      <c r="V75" s="19"/>
    </row>
    <row r="76" spans="22:22" s="8" customFormat="1" ht="18.600000000000001">
      <c r="V76" s="19"/>
    </row>
    <row r="77" spans="22:22" s="8" customFormat="1" ht="18.600000000000001">
      <c r="V77" s="19"/>
    </row>
    <row r="78" spans="22:22" s="8" customFormat="1" ht="18.600000000000001">
      <c r="V78" s="19"/>
    </row>
    <row r="79" spans="22:22" s="8" customFormat="1" ht="18.600000000000001">
      <c r="V79" s="19"/>
    </row>
    <row r="80" spans="22:22" s="8" customFormat="1" ht="18.600000000000001">
      <c r="V80" s="19"/>
    </row>
    <row r="81" spans="22:22" s="8" customFormat="1" ht="18.600000000000001">
      <c r="V81" s="19"/>
    </row>
    <row r="82" spans="22:22" s="8" customFormat="1" ht="18.600000000000001">
      <c r="V82" s="19"/>
    </row>
    <row r="83" spans="22:22" s="8" customFormat="1" ht="18.600000000000001">
      <c r="V83" s="19"/>
    </row>
    <row r="84" spans="22:22" s="8" customFormat="1" ht="18.600000000000001">
      <c r="V84" s="19"/>
    </row>
    <row r="85" spans="22:22" s="8" customFormat="1" ht="18.600000000000001">
      <c r="V85" s="19"/>
    </row>
    <row r="86" spans="22:22" s="8" customFormat="1" ht="18.600000000000001">
      <c r="V86" s="19"/>
    </row>
    <row r="87" spans="22:22" s="8" customFormat="1" ht="18.600000000000001">
      <c r="V87" s="19"/>
    </row>
    <row r="88" spans="22:22" s="8" customFormat="1" ht="18.600000000000001">
      <c r="V88" s="19"/>
    </row>
    <row r="89" spans="22:22" s="8" customFormat="1" ht="18.600000000000001">
      <c r="V89" s="19"/>
    </row>
    <row r="90" spans="22:22" s="8" customFormat="1" ht="18.600000000000001">
      <c r="V90" s="19"/>
    </row>
    <row r="91" spans="22:22" s="8" customFormat="1" ht="18.600000000000001">
      <c r="V91" s="19"/>
    </row>
    <row r="92" spans="22:22" s="8" customFormat="1" ht="18.600000000000001">
      <c r="V92" s="19"/>
    </row>
    <row r="93" spans="22:22" s="8" customFormat="1" ht="18.600000000000001">
      <c r="V93" s="19"/>
    </row>
    <row r="94" spans="22:22" s="8" customFormat="1" ht="18.600000000000001">
      <c r="V94" s="19"/>
    </row>
    <row r="95" spans="22:22" s="8" customFormat="1" ht="18.600000000000001">
      <c r="V95" s="19"/>
    </row>
    <row r="96" spans="22:22" s="8" customFormat="1" ht="18.600000000000001">
      <c r="V96" s="19"/>
    </row>
    <row r="97" spans="22:22" s="8" customFormat="1" ht="18.600000000000001">
      <c r="V97" s="19"/>
    </row>
    <row r="98" spans="22:22" s="8" customFormat="1" ht="18.600000000000001">
      <c r="V98" s="19"/>
    </row>
    <row r="99" spans="22:22" s="8" customFormat="1" ht="18.600000000000001">
      <c r="V99" s="19"/>
    </row>
    <row r="100" spans="22:22" s="8" customFormat="1" ht="18.600000000000001">
      <c r="V100" s="19"/>
    </row>
    <row r="101" spans="22:22" s="8" customFormat="1" ht="18.600000000000001">
      <c r="V101" s="19"/>
    </row>
    <row r="102" spans="22:22" s="8" customFormat="1" ht="18.600000000000001">
      <c r="V102" s="19"/>
    </row>
    <row r="103" spans="22:22" s="8" customFormat="1" ht="18.600000000000001">
      <c r="V103" s="19"/>
    </row>
    <row r="104" spans="22:22" s="8" customFormat="1" ht="18.600000000000001">
      <c r="V104" s="19"/>
    </row>
    <row r="105" spans="22:22" s="8" customFormat="1" ht="18.600000000000001">
      <c r="V105" s="19"/>
    </row>
    <row r="106" spans="22:22" s="8" customFormat="1" ht="18.600000000000001">
      <c r="V106" s="19"/>
    </row>
    <row r="107" spans="22:22" s="8" customFormat="1" ht="18.600000000000001">
      <c r="V107" s="19"/>
    </row>
    <row r="108" spans="22:22" s="8" customFormat="1" ht="18.600000000000001">
      <c r="V108" s="19"/>
    </row>
    <row r="109" spans="22:22" s="8" customFormat="1" ht="18.600000000000001">
      <c r="V109" s="19"/>
    </row>
    <row r="110" spans="22:22" s="8" customFormat="1" ht="18.600000000000001">
      <c r="V110" s="19"/>
    </row>
    <row r="111" spans="22:22" s="8" customFormat="1" ht="18.600000000000001">
      <c r="V111" s="19"/>
    </row>
    <row r="112" spans="22:22" s="8" customFormat="1" ht="18.600000000000001">
      <c r="V112" s="19"/>
    </row>
    <row r="113" spans="22:22" s="8" customFormat="1" ht="18.600000000000001">
      <c r="V113" s="19"/>
    </row>
    <row r="114" spans="22:22" s="8" customFormat="1" ht="18.600000000000001">
      <c r="V114" s="19"/>
    </row>
    <row r="115" spans="22:22" s="8" customFormat="1" ht="18.600000000000001">
      <c r="V115" s="19"/>
    </row>
    <row r="116" spans="22:22" s="8" customFormat="1" ht="18.600000000000001">
      <c r="V116" s="19"/>
    </row>
    <row r="117" spans="22:22" s="8" customFormat="1" ht="18.600000000000001">
      <c r="V117" s="19"/>
    </row>
    <row r="118" spans="22:22" s="8" customFormat="1" ht="18.600000000000001">
      <c r="V118" s="19"/>
    </row>
    <row r="119" spans="22:22" s="8" customFormat="1" ht="18.600000000000001">
      <c r="V119" s="19"/>
    </row>
    <row r="120" spans="22:22" s="8" customFormat="1" ht="18.600000000000001">
      <c r="V120" s="19"/>
    </row>
    <row r="121" spans="22:22" s="8" customFormat="1" ht="18.600000000000001">
      <c r="V121" s="19"/>
    </row>
    <row r="122" spans="22:22" s="8" customFormat="1" ht="18.600000000000001">
      <c r="V122" s="19"/>
    </row>
    <row r="123" spans="22:22" s="8" customFormat="1" ht="18.600000000000001">
      <c r="V123" s="19"/>
    </row>
    <row r="124" spans="22:22" s="8" customFormat="1" ht="18.600000000000001">
      <c r="V124" s="19"/>
    </row>
    <row r="125" spans="22:22" s="8" customFormat="1" ht="18.600000000000001">
      <c r="V125" s="19"/>
    </row>
    <row r="126" spans="22:22" s="8" customFormat="1" ht="18.600000000000001">
      <c r="V126" s="19"/>
    </row>
    <row r="127" spans="22:22" s="8" customFormat="1" ht="18.600000000000001">
      <c r="V127" s="19"/>
    </row>
    <row r="128" spans="22:22" s="8" customFormat="1" ht="18.600000000000001">
      <c r="V128" s="19"/>
    </row>
    <row r="129" spans="22:22" s="8" customFormat="1" ht="18.600000000000001">
      <c r="V129" s="19"/>
    </row>
    <row r="130" spans="22:22" s="8" customFormat="1" ht="18.600000000000001">
      <c r="V130" s="19"/>
    </row>
    <row r="131" spans="22:22" s="8" customFormat="1" ht="18.600000000000001">
      <c r="V131" s="19"/>
    </row>
    <row r="132" spans="22:22" s="8" customFormat="1" ht="18.600000000000001">
      <c r="V132" s="19"/>
    </row>
    <row r="133" spans="22:22" s="8" customFormat="1" ht="18.600000000000001">
      <c r="V133" s="19"/>
    </row>
    <row r="134" spans="22:22" s="8" customFormat="1" ht="18.600000000000001">
      <c r="V134" s="19"/>
    </row>
    <row r="135" spans="22:22" s="8" customFormat="1" ht="18.600000000000001">
      <c r="V135" s="19"/>
    </row>
    <row r="136" spans="22:22" s="8" customFormat="1" ht="18.600000000000001">
      <c r="V136" s="19"/>
    </row>
    <row r="137" spans="22:22" s="8" customFormat="1" ht="18.600000000000001">
      <c r="V137" s="19"/>
    </row>
    <row r="138" spans="22:22" s="8" customFormat="1" ht="18.600000000000001">
      <c r="V138" s="19"/>
    </row>
    <row r="139" spans="22:22" s="8" customFormat="1" ht="18.600000000000001">
      <c r="V139" s="19"/>
    </row>
    <row r="140" spans="22:22" s="8" customFormat="1" ht="18.600000000000001">
      <c r="V140" s="19"/>
    </row>
    <row r="141" spans="22:22" s="8" customFormat="1" ht="18.600000000000001">
      <c r="V141" s="19"/>
    </row>
    <row r="142" spans="22:22" s="8" customFormat="1" ht="18.600000000000001">
      <c r="V142" s="19"/>
    </row>
    <row r="143" spans="22:22" s="8" customFormat="1" ht="18.600000000000001">
      <c r="V143" s="19"/>
    </row>
    <row r="144" spans="22:22" s="8" customFormat="1" ht="18.600000000000001">
      <c r="V144" s="19"/>
    </row>
    <row r="145" spans="22:22" s="8" customFormat="1" ht="18.600000000000001">
      <c r="V145" s="19"/>
    </row>
    <row r="146" spans="22:22" s="8" customFormat="1" ht="18.600000000000001">
      <c r="V146" s="19"/>
    </row>
    <row r="147" spans="22:22" s="8" customFormat="1" ht="18.600000000000001">
      <c r="V147" s="19"/>
    </row>
    <row r="148" spans="22:22" s="8" customFormat="1" ht="18.600000000000001">
      <c r="V148" s="19"/>
    </row>
    <row r="149" spans="22:22" s="8" customFormat="1" ht="18.600000000000001">
      <c r="V149" s="19"/>
    </row>
    <row r="150" spans="22:22" s="8" customFormat="1" ht="18.600000000000001">
      <c r="V150" s="19"/>
    </row>
    <row r="151" spans="22:22" s="8" customFormat="1" ht="18.600000000000001">
      <c r="V151" s="19"/>
    </row>
    <row r="152" spans="22:22" s="8" customFormat="1" ht="18.600000000000001">
      <c r="V152" s="19"/>
    </row>
    <row r="153" spans="22:22" s="8" customFormat="1" ht="18.600000000000001">
      <c r="V153" s="19"/>
    </row>
    <row r="154" spans="22:22" s="8" customFormat="1" ht="18.600000000000001">
      <c r="V154" s="19"/>
    </row>
    <row r="155" spans="22:22" s="8" customFormat="1" ht="18.600000000000001">
      <c r="V155" s="19"/>
    </row>
    <row r="156" spans="22:22" s="8" customFormat="1" ht="18.600000000000001">
      <c r="V156" s="19"/>
    </row>
    <row r="157" spans="22:22" s="8" customFormat="1" ht="18.600000000000001">
      <c r="V157" s="19"/>
    </row>
    <row r="158" spans="22:22" s="8" customFormat="1" ht="18.600000000000001">
      <c r="V158" s="19"/>
    </row>
    <row r="159" spans="22:22" s="8" customFormat="1" ht="18.600000000000001">
      <c r="V159" s="19"/>
    </row>
    <row r="160" spans="22:22" s="8" customFormat="1" ht="18.600000000000001">
      <c r="V160" s="19"/>
    </row>
    <row r="161" spans="22:22" s="8" customFormat="1" ht="18.600000000000001">
      <c r="V161" s="19"/>
    </row>
    <row r="162" spans="22:22" s="8" customFormat="1" ht="18.600000000000001">
      <c r="V162" s="19"/>
    </row>
    <row r="163" spans="22:22" s="8" customFormat="1" ht="18.600000000000001">
      <c r="V163" s="19"/>
    </row>
    <row r="164" spans="22:22" s="8" customFormat="1" ht="18.600000000000001">
      <c r="V164" s="19"/>
    </row>
    <row r="165" spans="22:22" s="8" customFormat="1" ht="18.600000000000001">
      <c r="V165" s="19"/>
    </row>
    <row r="166" spans="22:22" s="8" customFormat="1" ht="18.600000000000001">
      <c r="V166" s="19"/>
    </row>
    <row r="167" spans="22:22" s="8" customFormat="1" ht="18.600000000000001">
      <c r="V167" s="19"/>
    </row>
    <row r="168" spans="22:22" s="8" customFormat="1" ht="18.600000000000001">
      <c r="V168" s="19"/>
    </row>
    <row r="169" spans="22:22" s="8" customFormat="1" ht="18.600000000000001">
      <c r="V169" s="19"/>
    </row>
    <row r="170" spans="22:22" s="8" customFormat="1" ht="18.600000000000001">
      <c r="V170" s="19"/>
    </row>
    <row r="171" spans="22:22" s="8" customFormat="1" ht="18.600000000000001">
      <c r="V171" s="19"/>
    </row>
    <row r="172" spans="22:22" s="8" customFormat="1" ht="18.600000000000001">
      <c r="V172" s="19"/>
    </row>
    <row r="173" spans="22:22" s="8" customFormat="1" ht="18.600000000000001">
      <c r="V173" s="19"/>
    </row>
    <row r="174" spans="22:22" s="8" customFormat="1" ht="18.600000000000001">
      <c r="V174" s="19"/>
    </row>
    <row r="175" spans="22:22" s="8" customFormat="1" ht="18.600000000000001">
      <c r="V175" s="19"/>
    </row>
    <row r="176" spans="22:22" s="8" customFormat="1" ht="18.600000000000001">
      <c r="V176" s="19"/>
    </row>
    <row r="177" spans="22:22" s="8" customFormat="1" ht="18.600000000000001">
      <c r="V177" s="19"/>
    </row>
    <row r="178" spans="22:22" s="8" customFormat="1" ht="18.600000000000001">
      <c r="V178" s="19"/>
    </row>
    <row r="179" spans="22:22" s="8" customFormat="1" ht="18.600000000000001">
      <c r="V179" s="19"/>
    </row>
    <row r="180" spans="22:22" s="8" customFormat="1" ht="18.600000000000001">
      <c r="V180" s="19"/>
    </row>
    <row r="181" spans="22:22" s="8" customFormat="1" ht="18.600000000000001">
      <c r="V181" s="19"/>
    </row>
    <row r="182" spans="22:22" s="8" customFormat="1" ht="18.600000000000001">
      <c r="V182" s="19"/>
    </row>
    <row r="183" spans="22:22" s="8" customFormat="1" ht="18.600000000000001">
      <c r="V183" s="19"/>
    </row>
    <row r="184" spans="22:22" s="8" customFormat="1" ht="18.600000000000001">
      <c r="V184" s="19"/>
    </row>
    <row r="185" spans="22:22" s="8" customFormat="1" ht="18.600000000000001">
      <c r="V185" s="19"/>
    </row>
    <row r="186" spans="22:22" s="8" customFormat="1" ht="18.600000000000001">
      <c r="V186" s="19"/>
    </row>
    <row r="187" spans="22:22" s="8" customFormat="1" ht="18.600000000000001">
      <c r="V187" s="19"/>
    </row>
    <row r="188" spans="22:22" s="8" customFormat="1" ht="18.600000000000001">
      <c r="V188" s="19"/>
    </row>
    <row r="189" spans="22:22" s="8" customFormat="1" ht="18.600000000000001">
      <c r="V189" s="19"/>
    </row>
  </sheetData>
  <autoFilter ref="A4:V189" xr:uid="{00000000-0001-0000-0100-000000000000}"/>
  <mergeCells count="2">
    <mergeCell ref="A1:V1"/>
    <mergeCell ref="A2:V2"/>
  </mergeCells>
  <dataValidations disablePrompts="1" count="3">
    <dataValidation type="list" allowBlank="1" sqref="B5:B40" xr:uid="{00000000-0002-0000-0100-000000000000}">
      <formula1>"Construction,Completed,Planning,On Hold"</formula1>
    </dataValidation>
    <dataValidation type="list" allowBlank="1" showInputMessage="1" showErrorMessage="1" sqref="C201" xr:uid="{362D2387-52AE-4045-809E-2C75EB9CCBFB}">
      <formula1>"Internal,External"</formula1>
    </dataValidation>
    <dataValidation type="list" allowBlank="1" showInputMessage="1" showErrorMessage="1" sqref="C5:C200" xr:uid="{CD75D35E-1DBF-46B7-ADB8-F3026CC204AA}">
      <formula1>"Internal,External,Non-Project"</formula1>
    </dataValidation>
  </dataValidations>
  <hyperlinks>
    <hyperlink ref="U14" r:id="rId1" xr:uid="{D16A580D-0F23-4F6F-8F5B-CB904485C44F}"/>
    <hyperlink ref="U5" r:id="rId2" xr:uid="{F2A67D83-7EE6-4F43-A7CF-9A7A41DDE6BE}"/>
    <hyperlink ref="U7" r:id="rId3" xr:uid="{0976AF2F-EFAD-4D62-A5D9-EA0400669608}"/>
    <hyperlink ref="U8" r:id="rId4" display="https://corallife806.sharepoint.com/:b:/s/CoralLife2/IQC_1O9ATjPsQomIvw1ojRYNAaU5LIg7fkK9VUpOyGFWeRU?e=lM49aH" xr:uid="{1FB45799-2375-45C8-B4B2-95EDCB78A986}"/>
    <hyperlink ref="U10" r:id="rId5" display="https://corallife806.sharepoint.com/:b:/s/CoralLife2/IQDPRH31b2MuQrHsnyp3t2p9AUx2BIPH7d5CaCZiEXf91Ts?e=epteGe" xr:uid="{34875C2B-60EA-4950-BA38-A9B5F38806DD}"/>
    <hyperlink ref="U11" r:id="rId6" display="https://corallife806.sharepoint.com/:b:/s/CoralLife2/IQBzSAX63zsdTaCxQyovwEpUAdqoBcvGSGMOniM5cwxdJJo?e=0608OK" xr:uid="{6E29E81C-1257-45E3-ADA8-3D8AF9C8F473}"/>
    <hyperlink ref="U13" r:id="rId7" display="https://corallife806.sharepoint.com/:b:/s/CoralLife2/IQBSB6_w6g72TLKUHWGlGBMFARs9IGLaqRfLn5C5zWJMU04?e=8SAokd" xr:uid="{60CE460F-1314-44B6-832C-5ABF13522EB6}"/>
    <hyperlink ref="U16" r:id="rId8" xr:uid="{02895EAD-8F6D-4728-91D1-12231471B411}"/>
    <hyperlink ref="U19" r:id="rId9" xr:uid="{64B77621-4464-4729-B1C8-C74F3BC4DC5C}"/>
    <hyperlink ref="U24" r:id="rId10" xr:uid="{DFFF659B-3A50-4FD0-AA9F-289AE4EB0963}"/>
  </hyperlinks>
  <pageMargins left="0.75" right="0.75" top="1" bottom="1" header="0.5" footer="0.5"/>
  <pageSetup paperSize="9" orientation="portrait" verticalDpi="0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pane ySplit="4" topLeftCell="A20" activePane="bottomLeft" state="frozen"/>
      <selection pane="bottomLeft" activeCell="C41" sqref="C41"/>
    </sheetView>
  </sheetViews>
  <sheetFormatPr defaultRowHeight="14.4"/>
  <cols>
    <col min="1" max="1" width="14" customWidth="1"/>
    <col min="2" max="2" width="26.77734375" customWidth="1"/>
    <col min="3" max="3" width="22" customWidth="1"/>
    <col min="4" max="4" width="18" customWidth="1"/>
    <col min="5" max="5" width="31.88671875" customWidth="1"/>
  </cols>
  <sheetData>
    <row r="1" spans="1:5" ht="17.399999999999999">
      <c r="A1" s="82" t="s">
        <v>57</v>
      </c>
      <c r="B1" s="82"/>
      <c r="C1" s="83"/>
      <c r="D1" s="83"/>
    </row>
    <row r="2" spans="1:5">
      <c r="A2" s="84" t="s">
        <v>58</v>
      </c>
      <c r="B2" s="84"/>
      <c r="C2" s="83"/>
      <c r="D2" s="83"/>
    </row>
    <row r="4" spans="1:5">
      <c r="A4" s="1" t="s">
        <v>68</v>
      </c>
      <c r="B4" s="1" t="s">
        <v>2</v>
      </c>
      <c r="C4" s="1" t="s">
        <v>59</v>
      </c>
      <c r="D4" s="1" t="s">
        <v>60</v>
      </c>
      <c r="E4" s="53" t="s">
        <v>90</v>
      </c>
    </row>
    <row r="5" spans="1:5">
      <c r="A5" s="6"/>
      <c r="B5" s="6"/>
      <c r="C5" s="5"/>
      <c r="D5" s="7"/>
    </row>
    <row r="6" spans="1:5">
      <c r="A6" s="6"/>
      <c r="B6" s="6"/>
      <c r="C6" s="5"/>
      <c r="D6" s="7"/>
    </row>
    <row r="7" spans="1:5">
      <c r="A7" s="6">
        <v>46185</v>
      </c>
      <c r="B7" s="2" t="s">
        <v>101</v>
      </c>
      <c r="C7" s="5" t="s">
        <v>61</v>
      </c>
      <c r="D7" s="7">
        <v>4</v>
      </c>
      <c r="E7" t="s">
        <v>102</v>
      </c>
    </row>
    <row r="8" spans="1:5">
      <c r="A8" s="6">
        <v>46189</v>
      </c>
      <c r="B8" s="5" t="s">
        <v>103</v>
      </c>
      <c r="C8" s="5" t="s">
        <v>61</v>
      </c>
      <c r="D8" s="7">
        <v>4</v>
      </c>
      <c r="E8" t="s">
        <v>110</v>
      </c>
    </row>
    <row r="9" spans="1:5">
      <c r="A9" s="6">
        <v>46183</v>
      </c>
      <c r="B9" s="5" t="s">
        <v>104</v>
      </c>
      <c r="C9" s="5" t="s">
        <v>62</v>
      </c>
      <c r="D9" s="7">
        <v>3</v>
      </c>
      <c r="E9" t="s">
        <v>111</v>
      </c>
    </row>
    <row r="10" spans="1:5">
      <c r="A10" s="6">
        <v>46185</v>
      </c>
      <c r="B10" s="5" t="s">
        <v>104</v>
      </c>
      <c r="C10" s="5" t="s">
        <v>63</v>
      </c>
      <c r="D10" s="7">
        <v>2.5</v>
      </c>
      <c r="E10" t="s">
        <v>112</v>
      </c>
    </row>
    <row r="11" spans="1:5">
      <c r="A11" s="6">
        <v>46190</v>
      </c>
      <c r="B11" s="5" t="s">
        <v>101</v>
      </c>
      <c r="C11" s="5" t="s">
        <v>61</v>
      </c>
      <c r="D11" s="7">
        <v>3</v>
      </c>
      <c r="E11" t="s">
        <v>113</v>
      </c>
    </row>
    <row r="12" spans="1:5">
      <c r="A12" s="6">
        <v>46190</v>
      </c>
      <c r="B12" s="5" t="s">
        <v>105</v>
      </c>
      <c r="C12" s="5" t="s">
        <v>63</v>
      </c>
      <c r="D12" s="7">
        <v>3</v>
      </c>
      <c r="E12" t="s">
        <v>112</v>
      </c>
    </row>
    <row r="13" spans="1:5">
      <c r="A13" s="6">
        <v>46192</v>
      </c>
      <c r="B13" s="5" t="s">
        <v>106</v>
      </c>
      <c r="C13" s="5" t="s">
        <v>61</v>
      </c>
      <c r="D13" s="7">
        <v>3</v>
      </c>
      <c r="E13" t="s">
        <v>114</v>
      </c>
    </row>
    <row r="14" spans="1:5">
      <c r="A14" s="6">
        <v>46197</v>
      </c>
      <c r="B14" s="5" t="s">
        <v>107</v>
      </c>
      <c r="C14" s="5" t="s">
        <v>63</v>
      </c>
      <c r="D14" s="7">
        <v>3</v>
      </c>
      <c r="E14" t="s">
        <v>115</v>
      </c>
    </row>
    <row r="15" spans="1:5">
      <c r="A15" s="3">
        <v>46198</v>
      </c>
      <c r="B15" s="5" t="s">
        <v>108</v>
      </c>
      <c r="C15" s="5" t="s">
        <v>61</v>
      </c>
      <c r="D15" s="4">
        <v>6</v>
      </c>
      <c r="E15" t="s">
        <v>116</v>
      </c>
    </row>
    <row r="16" spans="1:5">
      <c r="A16" s="3">
        <v>46202</v>
      </c>
      <c r="B16" s="5" t="s">
        <v>106</v>
      </c>
      <c r="C16" s="5" t="s">
        <v>61</v>
      </c>
      <c r="D16" s="4">
        <v>6</v>
      </c>
      <c r="E16" t="s">
        <v>117</v>
      </c>
    </row>
    <row r="17" spans="1:5">
      <c r="A17" s="3">
        <v>46205</v>
      </c>
      <c r="B17" s="5" t="s">
        <v>101</v>
      </c>
      <c r="C17" s="5" t="s">
        <v>61</v>
      </c>
      <c r="D17" s="4">
        <v>4</v>
      </c>
      <c r="E17" t="s">
        <v>114</v>
      </c>
    </row>
    <row r="18" spans="1:5">
      <c r="A18" s="3">
        <v>46209</v>
      </c>
      <c r="B18" s="5" t="s">
        <v>109</v>
      </c>
      <c r="C18" s="5" t="s">
        <v>61</v>
      </c>
      <c r="D18" s="4">
        <v>4</v>
      </c>
      <c r="E18" t="s">
        <v>123</v>
      </c>
    </row>
    <row r="19" spans="1:5">
      <c r="A19" s="3">
        <v>46211</v>
      </c>
      <c r="B19" s="5" t="s">
        <v>122</v>
      </c>
      <c r="C19" s="5" t="s">
        <v>62</v>
      </c>
      <c r="D19" s="4">
        <v>3</v>
      </c>
      <c r="E19" t="s">
        <v>115</v>
      </c>
    </row>
    <row r="20" spans="1:5">
      <c r="A20" s="3">
        <v>46216</v>
      </c>
      <c r="B20" s="5" t="s">
        <v>109</v>
      </c>
      <c r="C20" s="5" t="s">
        <v>121</v>
      </c>
      <c r="D20" s="4">
        <v>2.6999999999999993</v>
      </c>
      <c r="E20" t="s">
        <v>124</v>
      </c>
    </row>
    <row r="21" spans="1:5">
      <c r="A21" s="3">
        <v>46216</v>
      </c>
      <c r="B21" s="5" t="s">
        <v>101</v>
      </c>
      <c r="C21" s="5" t="s">
        <v>61</v>
      </c>
      <c r="D21" s="4">
        <v>6</v>
      </c>
      <c r="E21" t="s">
        <v>119</v>
      </c>
    </row>
    <row r="22" spans="1:5">
      <c r="A22" s="3">
        <v>46218</v>
      </c>
      <c r="B22" s="3" t="s">
        <v>118</v>
      </c>
      <c r="C22" s="3" t="s">
        <v>61</v>
      </c>
      <c r="D22" s="4">
        <v>3</v>
      </c>
      <c r="E22" t="s">
        <v>112</v>
      </c>
    </row>
    <row r="23" spans="1:5">
      <c r="A23" s="3">
        <v>46218</v>
      </c>
      <c r="B23" s="3" t="s">
        <v>106</v>
      </c>
      <c r="C23" s="3" t="s">
        <v>61</v>
      </c>
      <c r="D23" s="4">
        <v>3</v>
      </c>
      <c r="E23" t="s">
        <v>119</v>
      </c>
    </row>
    <row r="24" spans="1:5">
      <c r="A24" s="3">
        <v>46218</v>
      </c>
      <c r="B24" s="3" t="s">
        <v>100</v>
      </c>
      <c r="C24" s="3" t="s">
        <v>120</v>
      </c>
      <c r="D24" s="4">
        <v>3</v>
      </c>
      <c r="E24" t="s">
        <v>115</v>
      </c>
    </row>
    <row r="25" spans="1:5">
      <c r="A25" s="3">
        <v>46218</v>
      </c>
      <c r="B25" s="3" t="s">
        <v>100</v>
      </c>
      <c r="C25" s="3" t="s">
        <v>121</v>
      </c>
      <c r="D25" s="4">
        <v>3</v>
      </c>
      <c r="E25" t="s">
        <v>115</v>
      </c>
    </row>
    <row r="26" spans="1:5">
      <c r="A26" s="63">
        <v>46219</v>
      </c>
      <c r="B26" s="62" t="s">
        <v>107</v>
      </c>
      <c r="C26" s="62" t="s">
        <v>61</v>
      </c>
      <c r="D26" s="61">
        <v>3</v>
      </c>
      <c r="E26" t="s">
        <v>133</v>
      </c>
    </row>
    <row r="27" spans="1:5">
      <c r="A27" s="3">
        <v>46224</v>
      </c>
      <c r="B27" s="62" t="s">
        <v>109</v>
      </c>
      <c r="C27" s="62" t="s">
        <v>61</v>
      </c>
      <c r="D27" s="4">
        <v>2</v>
      </c>
      <c r="E27" t="s">
        <v>134</v>
      </c>
    </row>
    <row r="28" spans="1:5">
      <c r="A28" s="3">
        <v>46226</v>
      </c>
      <c r="B28" s="3" t="s">
        <v>100</v>
      </c>
      <c r="C28" s="63" t="s">
        <v>61</v>
      </c>
      <c r="D28" s="4">
        <v>4</v>
      </c>
      <c r="E28" t="s">
        <v>135</v>
      </c>
    </row>
    <row r="29" spans="1:5">
      <c r="A29" s="3">
        <v>46227</v>
      </c>
      <c r="B29" s="3" t="s">
        <v>139</v>
      </c>
      <c r="C29" s="63" t="s">
        <v>61</v>
      </c>
      <c r="D29" s="4">
        <v>3</v>
      </c>
      <c r="E29" t="s">
        <v>124</v>
      </c>
    </row>
    <row r="30" spans="1:5">
      <c r="A30" s="3">
        <v>46230</v>
      </c>
      <c r="B30" s="5" t="s">
        <v>109</v>
      </c>
      <c r="C30" s="63" t="s">
        <v>61</v>
      </c>
      <c r="D30" s="4">
        <v>2</v>
      </c>
      <c r="E30" t="s">
        <v>141</v>
      </c>
    </row>
    <row r="31" spans="1:5">
      <c r="A31" s="3">
        <v>46234</v>
      </c>
      <c r="B31" s="5" t="s">
        <v>109</v>
      </c>
      <c r="C31" s="63" t="s">
        <v>61</v>
      </c>
      <c r="D31" s="4">
        <v>3</v>
      </c>
      <c r="E31" t="s">
        <v>143</v>
      </c>
    </row>
  </sheetData>
  <autoFilter ref="A4:E30" xr:uid="{00000000-0001-0000-0200-000000000000}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F7FE-A4AF-4302-B8F5-800998C4C21C}">
  <dimension ref="A1:E200"/>
  <sheetViews>
    <sheetView workbookViewId="0">
      <pane ySplit="4" topLeftCell="A5" activePane="bottomLeft" state="frozen"/>
      <selection pane="bottomLeft" activeCell="B13" sqref="B13"/>
    </sheetView>
  </sheetViews>
  <sheetFormatPr defaultRowHeight="14.4"/>
  <cols>
    <col min="1" max="1" width="34.33203125" bestFit="1" customWidth="1"/>
    <col min="2" max="2" width="48.88671875" bestFit="1" customWidth="1"/>
    <col min="3" max="4" width="11.21875" bestFit="1" customWidth="1"/>
    <col min="5" max="5" width="14.77734375" customWidth="1"/>
  </cols>
  <sheetData>
    <row r="1" spans="1:5" ht="17.399999999999999">
      <c r="A1" s="82" t="s">
        <v>75</v>
      </c>
      <c r="B1" s="82"/>
      <c r="C1" s="82"/>
      <c r="D1" s="82"/>
      <c r="E1" s="82"/>
    </row>
    <row r="2" spans="1:5">
      <c r="A2" s="84" t="s">
        <v>76</v>
      </c>
      <c r="B2" s="84"/>
      <c r="C2" s="84"/>
      <c r="D2" s="84"/>
      <c r="E2" s="84"/>
    </row>
    <row r="4" spans="1:5">
      <c r="A4" s="1" t="s">
        <v>77</v>
      </c>
      <c r="B4" s="1" t="s">
        <v>78</v>
      </c>
      <c r="C4" s="1" t="s">
        <v>4</v>
      </c>
      <c r="D4" s="1" t="s">
        <v>5</v>
      </c>
      <c r="E4" t="s">
        <v>7</v>
      </c>
    </row>
    <row r="5" spans="1:5">
      <c r="A5" s="3" t="s">
        <v>93</v>
      </c>
      <c r="B5" s="3" t="s">
        <v>94</v>
      </c>
      <c r="C5" s="6">
        <v>46204</v>
      </c>
      <c r="D5" s="6">
        <v>46224</v>
      </c>
      <c r="E5" t="s">
        <v>79</v>
      </c>
    </row>
    <row r="6" spans="1:5">
      <c r="A6" s="3" t="s">
        <v>95</v>
      </c>
      <c r="B6" s="3" t="s">
        <v>96</v>
      </c>
      <c r="C6" s="6">
        <v>46204</v>
      </c>
      <c r="D6" s="6">
        <v>46224</v>
      </c>
      <c r="E6" t="s">
        <v>79</v>
      </c>
    </row>
    <row r="7" spans="1:5">
      <c r="A7" s="3" t="s">
        <v>97</v>
      </c>
      <c r="B7" s="2" t="s">
        <v>98</v>
      </c>
      <c r="C7" s="6">
        <v>46204</v>
      </c>
      <c r="D7" s="6">
        <v>46224</v>
      </c>
      <c r="E7" t="s">
        <v>79</v>
      </c>
    </row>
    <row r="8" spans="1:5">
      <c r="A8" s="3" t="s">
        <v>130</v>
      </c>
      <c r="B8" s="2" t="s">
        <v>131</v>
      </c>
      <c r="C8" s="6">
        <v>46226</v>
      </c>
      <c r="D8" s="6">
        <v>46249</v>
      </c>
      <c r="E8" t="s">
        <v>79</v>
      </c>
    </row>
    <row r="9" spans="1:5">
      <c r="A9" s="3" t="s">
        <v>132</v>
      </c>
      <c r="B9" s="5"/>
      <c r="C9" s="6">
        <v>46217</v>
      </c>
      <c r="D9" s="6">
        <v>46224</v>
      </c>
      <c r="E9" t="s">
        <v>79</v>
      </c>
    </row>
    <row r="10" spans="1:5">
      <c r="A10" s="6"/>
      <c r="B10" s="5"/>
      <c r="C10" s="6"/>
      <c r="D10" s="6"/>
    </row>
    <row r="11" spans="1:5">
      <c r="A11" s="6"/>
      <c r="B11" s="5"/>
      <c r="C11" s="6"/>
      <c r="D11" s="6"/>
    </row>
    <row r="12" spans="1:5">
      <c r="A12" s="6"/>
      <c r="B12" s="5"/>
      <c r="C12" s="6"/>
      <c r="D12" s="6"/>
    </row>
    <row r="13" spans="1:5">
      <c r="A13" s="6"/>
      <c r="B13" s="5"/>
      <c r="C13" s="6"/>
      <c r="D13" s="6"/>
    </row>
    <row r="14" spans="1:5">
      <c r="A14" s="6"/>
      <c r="B14" s="5"/>
      <c r="C14" s="6"/>
      <c r="D14" s="6"/>
    </row>
    <row r="15" spans="1:5">
      <c r="A15" s="3"/>
      <c r="B15" s="5"/>
      <c r="C15" s="6"/>
      <c r="D15" s="3"/>
    </row>
    <row r="16" spans="1:5">
      <c r="A16" s="3"/>
      <c r="B16" s="5"/>
      <c r="C16" s="6"/>
      <c r="D16" s="3"/>
    </row>
    <row r="17" spans="1:4">
      <c r="A17" s="3"/>
      <c r="B17" s="5"/>
      <c r="C17" s="6"/>
      <c r="D17" s="3"/>
    </row>
    <row r="18" spans="1:4">
      <c r="A18" s="3"/>
      <c r="B18" s="5"/>
      <c r="C18" s="6"/>
      <c r="D18" s="3"/>
    </row>
    <row r="19" spans="1:4">
      <c r="A19" s="3"/>
      <c r="B19" s="5"/>
      <c r="C19" s="6"/>
      <c r="D19" s="3"/>
    </row>
    <row r="20" spans="1:4">
      <c r="A20" s="3"/>
      <c r="B20" s="5"/>
      <c r="C20" s="6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C29" s="29"/>
      <c r="D29" s="29"/>
    </row>
    <row r="30" spans="1:4">
      <c r="C30" s="29"/>
      <c r="D30" s="29"/>
    </row>
    <row r="31" spans="1:4">
      <c r="C31" s="29"/>
      <c r="D31" s="29"/>
    </row>
    <row r="32" spans="1:4">
      <c r="C32" s="29"/>
      <c r="D32" s="29"/>
    </row>
    <row r="33" spans="3:4">
      <c r="C33" s="29"/>
      <c r="D33" s="29"/>
    </row>
    <row r="34" spans="3:4">
      <c r="C34" s="29"/>
      <c r="D34" s="29"/>
    </row>
    <row r="35" spans="3:4">
      <c r="C35" s="29"/>
      <c r="D35" s="29"/>
    </row>
    <row r="36" spans="3:4">
      <c r="C36" s="29"/>
      <c r="D36" s="29"/>
    </row>
    <row r="37" spans="3:4">
      <c r="C37" s="29"/>
      <c r="D37" s="29"/>
    </row>
    <row r="38" spans="3:4">
      <c r="C38" s="29"/>
      <c r="D38" s="29"/>
    </row>
    <row r="39" spans="3:4">
      <c r="C39" s="29"/>
      <c r="D39" s="29"/>
    </row>
    <row r="40" spans="3:4">
      <c r="C40" s="29"/>
      <c r="D40" s="29"/>
    </row>
    <row r="41" spans="3:4">
      <c r="C41" s="29"/>
      <c r="D41" s="29"/>
    </row>
    <row r="42" spans="3:4">
      <c r="C42" s="29"/>
      <c r="D42" s="29"/>
    </row>
    <row r="43" spans="3:4">
      <c r="C43" s="29"/>
      <c r="D43" s="29"/>
    </row>
    <row r="44" spans="3:4">
      <c r="C44" s="29"/>
      <c r="D44" s="29"/>
    </row>
    <row r="45" spans="3:4">
      <c r="C45" s="29"/>
      <c r="D45" s="29"/>
    </row>
    <row r="46" spans="3:4">
      <c r="C46" s="29"/>
      <c r="D46" s="29"/>
    </row>
    <row r="47" spans="3:4">
      <c r="C47" s="29"/>
      <c r="D47" s="29"/>
    </row>
    <row r="48" spans="3:4">
      <c r="C48" s="29"/>
      <c r="D48" s="29"/>
    </row>
    <row r="49" spans="3:4">
      <c r="C49" s="29"/>
      <c r="D49" s="29"/>
    </row>
    <row r="50" spans="3:4">
      <c r="C50" s="29"/>
      <c r="D50" s="29"/>
    </row>
    <row r="51" spans="3:4">
      <c r="C51" s="29"/>
      <c r="D51" s="29"/>
    </row>
    <row r="52" spans="3:4">
      <c r="C52" s="29"/>
      <c r="D52" s="29"/>
    </row>
    <row r="53" spans="3:4">
      <c r="C53" s="29"/>
      <c r="D53" s="29"/>
    </row>
    <row r="54" spans="3:4">
      <c r="C54" s="29"/>
      <c r="D54" s="29"/>
    </row>
    <row r="55" spans="3:4">
      <c r="C55" s="29"/>
      <c r="D55" s="29"/>
    </row>
    <row r="56" spans="3:4">
      <c r="C56" s="29"/>
      <c r="D56" s="29"/>
    </row>
    <row r="57" spans="3:4">
      <c r="C57" s="29"/>
      <c r="D57" s="29"/>
    </row>
    <row r="58" spans="3:4">
      <c r="C58" s="29"/>
      <c r="D58" s="29"/>
    </row>
    <row r="59" spans="3:4">
      <c r="C59" s="29"/>
      <c r="D59" s="29"/>
    </row>
    <row r="60" spans="3:4">
      <c r="C60" s="29"/>
      <c r="D60" s="29"/>
    </row>
    <row r="61" spans="3:4">
      <c r="C61" s="29"/>
      <c r="D61" s="29"/>
    </row>
    <row r="62" spans="3:4">
      <c r="C62" s="29"/>
      <c r="D62" s="29"/>
    </row>
    <row r="63" spans="3:4">
      <c r="C63" s="29"/>
      <c r="D63" s="29"/>
    </row>
    <row r="64" spans="3:4">
      <c r="C64" s="29"/>
      <c r="D64" s="29"/>
    </row>
    <row r="65" spans="3:4">
      <c r="C65" s="29"/>
      <c r="D65" s="29"/>
    </row>
    <row r="66" spans="3:4">
      <c r="C66" s="29"/>
      <c r="D66" s="29"/>
    </row>
    <row r="67" spans="3:4">
      <c r="C67" s="29"/>
      <c r="D67" s="29"/>
    </row>
    <row r="68" spans="3:4">
      <c r="C68" s="29"/>
      <c r="D68" s="29"/>
    </row>
    <row r="69" spans="3:4">
      <c r="C69" s="29"/>
      <c r="D69" s="29"/>
    </row>
    <row r="70" spans="3:4">
      <c r="C70" s="29"/>
      <c r="D70" s="29"/>
    </row>
    <row r="71" spans="3:4">
      <c r="C71" s="29"/>
      <c r="D71" s="29"/>
    </row>
    <row r="72" spans="3:4">
      <c r="C72" s="29"/>
      <c r="D72" s="29"/>
    </row>
    <row r="73" spans="3:4">
      <c r="C73" s="29"/>
      <c r="D73" s="29"/>
    </row>
    <row r="74" spans="3:4">
      <c r="C74" s="29"/>
      <c r="D74" s="29"/>
    </row>
    <row r="75" spans="3:4">
      <c r="C75" s="29"/>
      <c r="D75" s="29"/>
    </row>
    <row r="76" spans="3:4">
      <c r="C76" s="29"/>
      <c r="D76" s="29"/>
    </row>
    <row r="77" spans="3:4">
      <c r="C77" s="29"/>
      <c r="D77" s="29"/>
    </row>
    <row r="78" spans="3:4">
      <c r="C78" s="29"/>
      <c r="D78" s="29"/>
    </row>
    <row r="79" spans="3:4">
      <c r="C79" s="29"/>
      <c r="D79" s="29"/>
    </row>
    <row r="80" spans="3:4">
      <c r="C80" s="29"/>
      <c r="D80" s="29"/>
    </row>
    <row r="81" spans="3:4">
      <c r="C81" s="29"/>
      <c r="D81" s="29"/>
    </row>
    <row r="82" spans="3:4">
      <c r="C82" s="29"/>
      <c r="D82" s="29"/>
    </row>
    <row r="83" spans="3:4">
      <c r="C83" s="29"/>
      <c r="D83" s="29"/>
    </row>
    <row r="84" spans="3:4">
      <c r="C84" s="29"/>
      <c r="D84" s="29"/>
    </row>
    <row r="85" spans="3:4">
      <c r="C85" s="29"/>
      <c r="D85" s="29"/>
    </row>
    <row r="86" spans="3:4">
      <c r="C86" s="29"/>
      <c r="D86" s="29"/>
    </row>
    <row r="87" spans="3:4">
      <c r="C87" s="29"/>
      <c r="D87" s="29"/>
    </row>
    <row r="88" spans="3:4">
      <c r="C88" s="29"/>
      <c r="D88" s="29"/>
    </row>
    <row r="89" spans="3:4">
      <c r="C89" s="29"/>
      <c r="D89" s="29"/>
    </row>
    <row r="90" spans="3:4">
      <c r="C90" s="29"/>
      <c r="D90" s="29"/>
    </row>
    <row r="91" spans="3:4">
      <c r="C91" s="29"/>
      <c r="D91" s="29"/>
    </row>
    <row r="92" spans="3:4">
      <c r="C92" s="29"/>
      <c r="D92" s="29"/>
    </row>
    <row r="93" spans="3:4">
      <c r="C93" s="29"/>
      <c r="D93" s="29"/>
    </row>
    <row r="94" spans="3:4">
      <c r="C94" s="29"/>
      <c r="D94" s="29"/>
    </row>
    <row r="95" spans="3:4">
      <c r="C95" s="29"/>
      <c r="D95" s="29"/>
    </row>
    <row r="96" spans="3:4">
      <c r="C96" s="29"/>
      <c r="D96" s="29"/>
    </row>
    <row r="97" spans="3:4">
      <c r="C97" s="29"/>
      <c r="D97" s="29"/>
    </row>
    <row r="98" spans="3:4">
      <c r="C98" s="29"/>
      <c r="D98" s="29"/>
    </row>
    <row r="99" spans="3:4">
      <c r="C99" s="29"/>
      <c r="D99" s="29"/>
    </row>
    <row r="100" spans="3:4">
      <c r="C100" s="29"/>
      <c r="D100" s="29"/>
    </row>
    <row r="101" spans="3:4">
      <c r="C101" s="29"/>
      <c r="D101" s="29"/>
    </row>
    <row r="102" spans="3:4">
      <c r="C102" s="29"/>
      <c r="D102" s="29"/>
    </row>
    <row r="103" spans="3:4">
      <c r="C103" s="29"/>
      <c r="D103" s="29"/>
    </row>
    <row r="104" spans="3:4">
      <c r="C104" s="29"/>
      <c r="D104" s="29"/>
    </row>
    <row r="105" spans="3:4">
      <c r="C105" s="29"/>
      <c r="D105" s="29"/>
    </row>
    <row r="106" spans="3:4">
      <c r="C106" s="29"/>
      <c r="D106" s="29"/>
    </row>
    <row r="107" spans="3:4">
      <c r="C107" s="29"/>
      <c r="D107" s="29"/>
    </row>
    <row r="108" spans="3:4">
      <c r="C108" s="29"/>
      <c r="D108" s="29"/>
    </row>
    <row r="109" spans="3:4">
      <c r="C109" s="29"/>
      <c r="D109" s="29"/>
    </row>
    <row r="110" spans="3:4">
      <c r="C110" s="29"/>
      <c r="D110" s="29"/>
    </row>
    <row r="111" spans="3:4">
      <c r="C111" s="29"/>
      <c r="D111" s="29"/>
    </row>
    <row r="112" spans="3:4">
      <c r="C112" s="29"/>
      <c r="D112" s="29"/>
    </row>
    <row r="113" spans="3:4">
      <c r="C113" s="29"/>
      <c r="D113" s="29"/>
    </row>
    <row r="114" spans="3:4">
      <c r="C114" s="29"/>
      <c r="D114" s="29"/>
    </row>
    <row r="115" spans="3:4">
      <c r="C115" s="29"/>
      <c r="D115" s="29"/>
    </row>
    <row r="116" spans="3:4">
      <c r="C116" s="29"/>
      <c r="D116" s="29"/>
    </row>
    <row r="117" spans="3:4">
      <c r="C117" s="29"/>
      <c r="D117" s="29"/>
    </row>
    <row r="118" spans="3:4">
      <c r="C118" s="29"/>
      <c r="D118" s="29"/>
    </row>
    <row r="119" spans="3:4">
      <c r="C119" s="29"/>
      <c r="D119" s="29"/>
    </row>
    <row r="120" spans="3:4">
      <c r="C120" s="29"/>
      <c r="D120" s="29"/>
    </row>
    <row r="121" spans="3:4">
      <c r="C121" s="29"/>
      <c r="D121" s="29"/>
    </row>
    <row r="122" spans="3:4">
      <c r="C122" s="29"/>
      <c r="D122" s="29"/>
    </row>
    <row r="123" spans="3:4">
      <c r="C123" s="29"/>
      <c r="D123" s="29"/>
    </row>
    <row r="124" spans="3:4">
      <c r="C124" s="29"/>
      <c r="D124" s="29"/>
    </row>
    <row r="125" spans="3:4">
      <c r="C125" s="29"/>
      <c r="D125" s="29"/>
    </row>
    <row r="126" spans="3:4">
      <c r="C126" s="29"/>
      <c r="D126" s="29"/>
    </row>
    <row r="127" spans="3:4">
      <c r="C127" s="29"/>
      <c r="D127" s="29"/>
    </row>
    <row r="128" spans="3:4">
      <c r="C128" s="29"/>
      <c r="D128" s="29"/>
    </row>
    <row r="129" spans="3:4">
      <c r="C129" s="29"/>
      <c r="D129" s="29"/>
    </row>
    <row r="130" spans="3:4">
      <c r="C130" s="29"/>
      <c r="D130" s="29"/>
    </row>
    <row r="131" spans="3:4">
      <c r="C131" s="29"/>
      <c r="D131" s="29"/>
    </row>
    <row r="132" spans="3:4">
      <c r="C132" s="29"/>
      <c r="D132" s="29"/>
    </row>
    <row r="133" spans="3:4">
      <c r="C133" s="29"/>
      <c r="D133" s="29"/>
    </row>
    <row r="134" spans="3:4">
      <c r="C134" s="29"/>
      <c r="D134" s="29"/>
    </row>
    <row r="135" spans="3:4">
      <c r="C135" s="29"/>
      <c r="D135" s="29"/>
    </row>
    <row r="136" spans="3:4">
      <c r="C136" s="29"/>
      <c r="D136" s="29"/>
    </row>
    <row r="137" spans="3:4">
      <c r="C137" s="29"/>
      <c r="D137" s="29"/>
    </row>
    <row r="138" spans="3:4">
      <c r="C138" s="29"/>
      <c r="D138" s="29"/>
    </row>
    <row r="139" spans="3:4">
      <c r="C139" s="29"/>
      <c r="D139" s="29"/>
    </row>
    <row r="140" spans="3:4">
      <c r="C140" s="29"/>
      <c r="D140" s="29"/>
    </row>
    <row r="141" spans="3:4">
      <c r="C141" s="29"/>
      <c r="D141" s="29"/>
    </row>
    <row r="142" spans="3:4">
      <c r="C142" s="29"/>
      <c r="D142" s="29"/>
    </row>
    <row r="143" spans="3:4">
      <c r="C143" s="29"/>
      <c r="D143" s="29"/>
    </row>
    <row r="144" spans="3:4">
      <c r="C144" s="29"/>
      <c r="D144" s="29"/>
    </row>
    <row r="145" spans="3:4">
      <c r="C145" s="29"/>
      <c r="D145" s="29"/>
    </row>
    <row r="146" spans="3:4">
      <c r="C146" s="29"/>
      <c r="D146" s="29"/>
    </row>
    <row r="147" spans="3:4">
      <c r="C147" s="29"/>
      <c r="D147" s="29"/>
    </row>
    <row r="148" spans="3:4">
      <c r="C148" s="29"/>
      <c r="D148" s="29"/>
    </row>
    <row r="149" spans="3:4">
      <c r="C149" s="29"/>
      <c r="D149" s="29"/>
    </row>
    <row r="150" spans="3:4">
      <c r="C150" s="29"/>
      <c r="D150" s="29"/>
    </row>
    <row r="151" spans="3:4">
      <c r="C151" s="29"/>
      <c r="D151" s="29"/>
    </row>
    <row r="152" spans="3:4">
      <c r="C152" s="29"/>
      <c r="D152" s="29"/>
    </row>
    <row r="153" spans="3:4">
      <c r="C153" s="29"/>
      <c r="D153" s="29"/>
    </row>
    <row r="154" spans="3:4">
      <c r="C154" s="29"/>
      <c r="D154" s="29"/>
    </row>
    <row r="155" spans="3:4">
      <c r="C155" s="29"/>
      <c r="D155" s="29"/>
    </row>
    <row r="156" spans="3:4">
      <c r="C156" s="29"/>
      <c r="D156" s="29"/>
    </row>
    <row r="157" spans="3:4">
      <c r="C157" s="29"/>
      <c r="D157" s="29"/>
    </row>
    <row r="158" spans="3:4">
      <c r="C158" s="29"/>
      <c r="D158" s="29"/>
    </row>
    <row r="159" spans="3:4">
      <c r="C159" s="29"/>
      <c r="D159" s="29"/>
    </row>
    <row r="160" spans="3:4">
      <c r="C160" s="29"/>
      <c r="D160" s="29"/>
    </row>
    <row r="161" spans="3:4">
      <c r="C161" s="29"/>
      <c r="D161" s="29"/>
    </row>
    <row r="162" spans="3:4">
      <c r="C162" s="29"/>
      <c r="D162" s="29"/>
    </row>
    <row r="163" spans="3:4">
      <c r="C163" s="29"/>
      <c r="D163" s="29"/>
    </row>
    <row r="164" spans="3:4">
      <c r="C164" s="29"/>
      <c r="D164" s="29"/>
    </row>
    <row r="165" spans="3:4">
      <c r="C165" s="29"/>
      <c r="D165" s="29"/>
    </row>
    <row r="166" spans="3:4">
      <c r="C166" s="29"/>
      <c r="D166" s="29"/>
    </row>
    <row r="167" spans="3:4">
      <c r="C167" s="29"/>
      <c r="D167" s="29"/>
    </row>
    <row r="168" spans="3:4">
      <c r="C168" s="29"/>
      <c r="D168" s="29"/>
    </row>
    <row r="169" spans="3:4">
      <c r="C169" s="29"/>
      <c r="D169" s="29"/>
    </row>
    <row r="170" spans="3:4">
      <c r="C170" s="29"/>
      <c r="D170" s="29"/>
    </row>
    <row r="171" spans="3:4">
      <c r="C171" s="29"/>
      <c r="D171" s="29"/>
    </row>
    <row r="172" spans="3:4">
      <c r="C172" s="29"/>
      <c r="D172" s="29"/>
    </row>
    <row r="173" spans="3:4">
      <c r="C173" s="29"/>
      <c r="D173" s="29"/>
    </row>
    <row r="174" spans="3:4">
      <c r="C174" s="29"/>
      <c r="D174" s="29"/>
    </row>
    <row r="175" spans="3:4">
      <c r="C175" s="29"/>
      <c r="D175" s="29"/>
    </row>
    <row r="176" spans="3:4">
      <c r="C176" s="29"/>
      <c r="D176" s="29"/>
    </row>
    <row r="177" spans="3:4">
      <c r="C177" s="29"/>
      <c r="D177" s="29"/>
    </row>
    <row r="178" spans="3:4">
      <c r="C178" s="29"/>
      <c r="D178" s="29"/>
    </row>
    <row r="179" spans="3:4">
      <c r="C179" s="29"/>
      <c r="D179" s="29"/>
    </row>
    <row r="180" spans="3:4">
      <c r="C180" s="29"/>
      <c r="D180" s="29"/>
    </row>
    <row r="181" spans="3:4">
      <c r="C181" s="29"/>
      <c r="D181" s="29"/>
    </row>
    <row r="182" spans="3:4">
      <c r="C182" s="29"/>
      <c r="D182" s="29"/>
    </row>
    <row r="183" spans="3:4">
      <c r="C183" s="29"/>
      <c r="D183" s="29"/>
    </row>
    <row r="184" spans="3:4">
      <c r="C184" s="29"/>
      <c r="D184" s="29"/>
    </row>
    <row r="185" spans="3:4">
      <c r="C185" s="29"/>
      <c r="D185" s="29"/>
    </row>
    <row r="186" spans="3:4">
      <c r="C186" s="29"/>
      <c r="D186" s="29"/>
    </row>
    <row r="187" spans="3:4">
      <c r="C187" s="29"/>
      <c r="D187" s="29"/>
    </row>
    <row r="188" spans="3:4">
      <c r="C188" s="29"/>
      <c r="D188" s="29"/>
    </row>
    <row r="189" spans="3:4">
      <c r="C189" s="29"/>
      <c r="D189" s="29"/>
    </row>
    <row r="190" spans="3:4">
      <c r="C190" s="29"/>
      <c r="D190" s="29"/>
    </row>
    <row r="191" spans="3:4">
      <c r="C191" s="29"/>
      <c r="D191" s="29"/>
    </row>
    <row r="192" spans="3:4">
      <c r="C192" s="29"/>
      <c r="D192" s="29"/>
    </row>
    <row r="193" spans="3:4">
      <c r="C193" s="29"/>
      <c r="D193" s="29"/>
    </row>
    <row r="194" spans="3:4">
      <c r="C194" s="29"/>
      <c r="D194" s="29"/>
    </row>
    <row r="195" spans="3:4">
      <c r="C195" s="29"/>
      <c r="D195" s="29"/>
    </row>
    <row r="196" spans="3:4">
      <c r="C196" s="29"/>
      <c r="D196" s="29"/>
    </row>
    <row r="197" spans="3:4">
      <c r="C197" s="29"/>
      <c r="D197" s="29"/>
    </row>
    <row r="198" spans="3:4">
      <c r="C198" s="29"/>
      <c r="D198" s="29"/>
    </row>
    <row r="199" spans="3:4">
      <c r="C199" s="29"/>
      <c r="D199" s="29"/>
    </row>
    <row r="200" spans="3:4">
      <c r="C200" s="29"/>
      <c r="D200" s="29"/>
    </row>
  </sheetData>
  <autoFilter ref="A4:E200" xr:uid="{0CACF7FE-A4AF-4302-B8F5-800998C4C21C}"/>
  <mergeCells count="2">
    <mergeCell ref="A1:E1"/>
    <mergeCell ref="A2:E2"/>
  </mergeCells>
  <dataValidations count="1">
    <dataValidation type="list" allowBlank="1" showInputMessage="1" showErrorMessage="1" sqref="E5:E200" xr:uid="{0ABCEF69-CFAC-437F-9DF5-474C398D3B95}">
      <formula1>"In Progress,Completed,Planning,On Hold"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2D49705E83042817996DE5E733B41" ma:contentTypeVersion="18" ma:contentTypeDescription="Create a new document." ma:contentTypeScope="" ma:versionID="ba94834c452bdfc5c8776e4d6f86dfb3">
  <xsd:schema xmlns:xsd="http://www.w3.org/2001/XMLSchema" xmlns:xs="http://www.w3.org/2001/XMLSchema" xmlns:p="http://schemas.microsoft.com/office/2006/metadata/properties" xmlns:ns2="d1b9d38e-82c4-40dd-a627-c28ab9108e1c" xmlns:ns3="2d1b07a1-7849-4740-a4b1-3343cd5aadb6" targetNamespace="http://schemas.microsoft.com/office/2006/metadata/properties" ma:root="true" ma:fieldsID="ff4bedaaabc80ab55b5467b16ce003eb" ns2:_="" ns3:_="">
    <xsd:import namespace="d1b9d38e-82c4-40dd-a627-c28ab9108e1c"/>
    <xsd:import namespace="2d1b07a1-7849-4740-a4b1-3343cd5aadb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DateStart" minOccurs="0"/>
                <xsd:element ref="ns2:Comple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b9d38e-82c4-40dd-a627-c28ab9108e1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fb6db77-3ef7-43e7-ae0d-97c1bb5e83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DateStart" ma:index="23" nillable="true" ma:displayName="Date Start" ma:format="DateOnly" ma:internalName="DateStart">
      <xsd:simpleType>
        <xsd:restriction base="dms:DateTime"/>
      </xsd:simpleType>
    </xsd:element>
    <xsd:element name="Complete" ma:index="24" nillable="true" ma:displayName="Complete Date" ma:format="DateOnly" ma:internalName="Complete">
      <xsd:simpleType>
        <xsd:restriction base="dms:DateTim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b07a1-7849-4740-a4b1-3343cd5aadb6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20b5557-e70c-4568-8457-3e6232196297}" ma:internalName="TaxCatchAll" ma:showField="CatchAllData" ma:web="2d1b07a1-7849-4740-a4b1-3343cd5aad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plete xmlns="d1b9d38e-82c4-40dd-a627-c28ab9108e1c" xsi:nil="true"/>
    <lcf76f155ced4ddcb4097134ff3c332f xmlns="d1b9d38e-82c4-40dd-a627-c28ab9108e1c">
      <Terms xmlns="http://schemas.microsoft.com/office/infopath/2007/PartnerControls"/>
    </lcf76f155ced4ddcb4097134ff3c332f>
    <TaxCatchAll xmlns="2d1b07a1-7849-4740-a4b1-3343cd5aadb6" xsi:nil="true"/>
    <DateStart xmlns="d1b9d38e-82c4-40dd-a627-c28ab9108e1c" xsi:nil="true"/>
  </documentManagement>
</p:properties>
</file>

<file path=customXml/itemProps1.xml><?xml version="1.0" encoding="utf-8"?>
<ds:datastoreItem xmlns:ds="http://schemas.openxmlformats.org/officeDocument/2006/customXml" ds:itemID="{235994A7-6E6B-494E-A465-C3E876960F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D2A335-1DEC-4C21-977A-9ED57024A1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b9d38e-82c4-40dd-a627-c28ab9108e1c"/>
    <ds:schemaRef ds:uri="2d1b07a1-7849-4740-a4b1-3343cd5aad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14C1EB-02DF-450B-8928-EA02D20EAB49}">
  <ds:schemaRefs>
    <ds:schemaRef ds:uri="http://schemas.microsoft.com/office/2006/metadata/properties"/>
    <ds:schemaRef ds:uri="http://schemas.microsoft.com/office/infopath/2007/PartnerControls"/>
    <ds:schemaRef ds:uri="d1b9d38e-82c4-40dd-a627-c28ab9108e1c"/>
    <ds:schemaRef ds:uri="2d1b07a1-7849-4740-a4b1-3343cd5aad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Master Schedule</vt:lpstr>
      <vt:lpstr>Summary Report</vt:lpstr>
      <vt:lpstr>Site Visit Log</vt:lpstr>
      <vt:lpstr>Internal 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Warid Yuwachotiphan</cp:lastModifiedBy>
  <cp:revision/>
  <dcterms:created xsi:type="dcterms:W3CDTF">2026-06-25T02:12:24Z</dcterms:created>
  <dcterms:modified xsi:type="dcterms:W3CDTF">2026-08-06T10:39:42Z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0x0101008ED2D49705E83042817996DE5E733B41</vt:lpwstr>
  </property>
  <property fmtid="{D5CDD505-2E9C-101B-9397-08002B2CF9AE}" pid="3" name="MediaServiceImageTags">
    <vt:lpwstr/>
  </property>
</Properties>
</file>