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2" documentId="13_ncr:1_{0CEBE545-894A-44A9-891E-5BB094C4C614}" xr6:coauthVersionLast="47" xr6:coauthVersionMax="47" xr10:uidLastSave="{3495988F-557D-44E5-B304-C6059BF4A29C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14" i="2"/>
  <c r="H25" i="2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<sst xmlns="http://schemas.openxmlformats.org/spreadsheetml/2006/main" count="346" uniqueCount="144">
  <si>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</si>
  <si>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</si>
  <si>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</si>
  <si>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</si>
  <si>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</si>
  <si>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</si>
  <si>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</si>
  <si>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</si>
  <si>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</si>
  <si>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</si>
  <si>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</si>
  <si>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</si>
  <si>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</si>
  <si>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</si>
  <si>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</si>
  <si>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</si>
  <si>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</si>
  <si>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</si>
  <si>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</si>
  <si>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</si>
  <si>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</si>
  <si>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</si>
  <si>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</si>
  <si>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</si>
  <si>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</si>
  <si>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</si>
  <si>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</si>
  <si>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</si>
  <si>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</si>
  <si>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</si>
  <si>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</si>
  <si>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</si>
  <si>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</si>
  <si>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</si>
  <si>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</si>
  <si>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</si>
  <si>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</si>
  <si>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</si>
  <si>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</si>
  <si>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</si>
  <si>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</si>
  <si>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</si>
  <si>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</si>
  <si>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</si>
  <si>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</si>
  <si>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</si>
  <si>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</si>
  <si>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</si>
  <si>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</si>
  <si>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</si>
  <si>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</si>
  <si>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</si>
  <si>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</si>
  <si>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</si>
  <si>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</si>
  <si>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</si>
  <si>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</si>
  <si>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</si>
  <si>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</si>
  <si>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</si>
  <si>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</si>
  <si>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</si>
  <si>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</si>
  <si>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</si>
  <si>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</si>
  <si>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</si>
  <si>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</si>
  <si>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</si>
  <si>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</si>
  <si>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</si>
  <si>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</si>
  <si>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</si>
  <si>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</si>
  <si>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</si>
  <si>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</si>
  <si>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</si>
  <si>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</si>
  <si>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</si>
  <si>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</si>
  <si>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</si>
  <si>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</si>
  <si>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</si>
  <si>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</si>
  <si>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</si>
  <si>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</si>
  <si>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</si>
  <si>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</si>
  <si>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</si>
  <si>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</si>
  <si>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</si>
  <si>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</si>
  <si>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</si>
  <si>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</si>
  <si>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</si>
  <si>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</si>
  <si>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</si>
  <si>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</si>
  <si>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</si>
  <si>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</si>
  <si>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</si>
  <si>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</si>
  <si>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</si>
  <si>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</si>
  <si>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</si>
  <si>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</si>
  <si>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</si>
  <si>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</si>
  <si>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</si>
  <si>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</si>
  <si>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</si>
  <si>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</si>
  <si>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</si>
  <si>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</si>
  <si>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</si>
  <si>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</si>
  <si>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</si>
  <si>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</si>
  <si>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</si>
  <si>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</si>
  <si>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</si>
  <si>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</si>
  <si>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</si>
  <si>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</si>
  <si>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</si>
  <si>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</si>
  <si>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</si>
  <si>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</si>
  <si>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</si>
  <si>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</si>
  <si>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</si>
  <si>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</si>
  <si>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</si>
  <si>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</si>
  <si>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</si>
  <si>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</si>
  <si>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</si>
  <si>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</si>
  <si>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</si>
  <si>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</si>
  <si>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</si>
  <si>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</si>
  <si>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</si>
  <si>
    <t>เทสและวัดลม</t>
  </si>
  <si>
    <t>Revise ราคาของผู้รับเหมา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</si>
</sst>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20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sz val="10.5"/>
      <color rgb="FFFF0000"/>
      <name val="Arial"/>
      <family val="2"/>
    </font>
    <font>
      <sz val="10.5"/>
      <name val="Arial"/>
    </font>
    <font>
      <b/>
      <sz val="10.5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164" fontId="4" fillId="7" borderId="13" xfId="0" applyNumberFormat="1" applyFont="1" applyFill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4" fontId="4" fillId="0" borderId="13" xfId="0" applyNumberFormat="1" applyFont="1" applyBorder="1" applyAlignment="1">
      <alignment vertical="center"/>
    </xf>
    <xf numFmtId="164" fontId="4" fillId="8" borderId="13" xfId="0" applyNumberFormat="1" applyFont="1" applyFill="1" applyBorder="1" applyAlignment="1">
      <alignment vertical="center"/>
    </xf>
    <xf numFmtId="164" fontId="18" fillId="0" borderId="13" xfId="0" applyNumberFormat="1" applyFont="1" applyBorder="1" applyAlignment="1">
      <alignment vertical="center"/>
    </xf>
    <xf numFmtId="164" fontId="18" fillId="7" borderId="13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13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164" fontId="19" fillId="3" borderId="13" xfId="0" applyNumberFormat="1" applyFont="1" applyFill="1" applyBorder="1" applyAlignment="1">
      <alignment horizontal="center" vertical="center"/>
    </xf>
    <xf numFmtId="0" fontId="16" fillId="3" borderId="13" xfId="0" applyFont="1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1_Non-Project/7_Engineer/IAQ%20Solution/0_ERV%20Management/2_Construction%20Management/Dashboard/Construction_Portfolio_Template%20&#3626;&#3635;&#3648;&#3609;&#3634;.xlsx" TargetMode="External"/><Relationship Id="rId2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1" Type="http://schemas.openxmlformats.org/officeDocument/2006/relationships/externalLinkPath" Target="/sites/CoralLife2/Document%20Sharing/1_Non-Project/7_Engineer/IAQ%20Solution/0_ERV%20Management/2_Construction%20Management/Dashboard/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85" zoomScaleNormal="85" workbookViewId="0">
      <pane ySplit="4" topLeftCell="A5" activePane="bottomLeft" state="frozen"/>
      <selection pane="bottomLeft" activeCell="M16" sqref="M1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82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1">
      <c r="A2" s="84" t="s">
        <v>1</v>
      </c>
      <c r="B2" s="83"/>
      <c r="C2" s="83"/>
      <c r="D2" s="83"/>
      <c r="E2" s="83"/>
      <c r="F2" s="83"/>
      <c r="G2" s="83"/>
      <c r="H2" s="83"/>
      <c r="I2" s="83"/>
      <c r="J2" s="83"/>
      <c r="K2" s="83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thickBot="1">
      <c r="A5" s="85" t="s">
        <v>10</v>
      </c>
      <c r="B5" s="58" t="s">
        <v>11</v>
      </c>
      <c r="C5" s="65">
        <v>46084</v>
      </c>
      <c r="D5" s="65">
        <v>46127</v>
      </c>
      <c r="E5" s="59"/>
      <c r="F5" s="59"/>
      <c r="G5" s="60">
        <v>1</v>
      </c>
      <c r="H5" s="58" t="s">
        <v>12</v>
      </c>
      <c r="I5" s="77">
        <v>46244</v>
      </c>
      <c r="J5" s="73"/>
      <c r="K5" s="47"/>
    </row>
    <row r="6" spans="1:11" ht="15" thickBot="1">
      <c r="A6" s="76"/>
      <c r="B6" s="44" t="s">
        <v>13</v>
      </c>
      <c r="C6" s="65">
        <v>46189</v>
      </c>
      <c r="D6" s="65">
        <v>46189</v>
      </c>
      <c r="E6" s="45"/>
      <c r="F6" s="45"/>
      <c r="G6" s="46">
        <v>1</v>
      </c>
      <c r="H6" s="44" t="s">
        <v>12</v>
      </c>
      <c r="I6" s="78"/>
      <c r="J6" s="72"/>
      <c r="K6" s="48"/>
    </row>
    <row r="7" spans="1:11" ht="15" thickBot="1">
      <c r="A7" s="75" t="s">
        <v>14</v>
      </c>
      <c r="B7" s="38" t="s">
        <v>11</v>
      </c>
      <c r="C7" s="66">
        <v>46266</v>
      </c>
      <c r="D7" s="66">
        <v>46275</v>
      </c>
      <c r="E7" s="39"/>
      <c r="F7" s="39"/>
      <c r="G7" s="40">
        <v>0</v>
      </c>
      <c r="H7" s="38" t="s">
        <v>15</v>
      </c>
      <c r="I7" s="77">
        <v>46366</v>
      </c>
      <c r="J7" s="71"/>
      <c r="K7" s="49"/>
    </row>
    <row r="8" spans="1:11" ht="15" thickBot="1">
      <c r="A8" s="76"/>
      <c r="B8" s="35" t="s">
        <v>13</v>
      </c>
      <c r="C8" s="66">
        <v>46305</v>
      </c>
      <c r="D8" s="66">
        <v>46308</v>
      </c>
      <c r="E8" s="36"/>
      <c r="F8" s="36"/>
      <c r="G8" s="37">
        <v>0</v>
      </c>
      <c r="H8" s="35" t="s">
        <v>15</v>
      </c>
      <c r="I8" s="78"/>
      <c r="J8" s="72"/>
      <c r="K8" s="48"/>
    </row>
    <row r="9" spans="1:11" ht="15" thickBot="1">
      <c r="A9" s="75" t="s">
        <v>17</v>
      </c>
      <c r="B9" s="38" t="s">
        <v>11</v>
      </c>
      <c r="C9" s="65">
        <v>46082</v>
      </c>
      <c r="D9" s="65">
        <v>46096</v>
      </c>
      <c r="E9" s="39"/>
      <c r="F9" s="39"/>
      <c r="G9" s="40">
        <v>1</v>
      </c>
      <c r="H9" s="38" t="s">
        <v>12</v>
      </c>
      <c r="I9" s="77">
        <v>46218</v>
      </c>
      <c r="J9" s="71"/>
      <c r="K9" s="49"/>
    </row>
    <row r="10" spans="1:11" ht="15" thickBot="1">
      <c r="A10" s="76"/>
      <c r="B10" s="35" t="s">
        <v>13</v>
      </c>
      <c r="C10" s="65">
        <v>46168</v>
      </c>
      <c r="D10" s="65">
        <v>46213</v>
      </c>
      <c r="E10" s="36"/>
      <c r="F10" s="36"/>
      <c r="G10" s="37">
        <v>1</v>
      </c>
      <c r="H10" s="35" t="s">
        <v>12</v>
      </c>
      <c r="I10" s="78"/>
      <c r="J10" s="72"/>
      <c r="K10" s="48"/>
    </row>
    <row r="11" spans="1:11" ht="15" thickBot="1">
      <c r="A11" s="75" t="s">
        <v>18</v>
      </c>
      <c r="B11" s="41" t="s">
        <v>11</v>
      </c>
      <c r="C11" s="65">
        <v>46184</v>
      </c>
      <c r="D11" s="65">
        <v>46191</v>
      </c>
      <c r="E11" s="42"/>
      <c r="F11" s="42"/>
      <c r="G11" s="43">
        <v>1</v>
      </c>
      <c r="H11" s="41" t="s">
        <v>12</v>
      </c>
      <c r="I11" s="77">
        <v>46171</v>
      </c>
      <c r="J11" s="71"/>
      <c r="K11" s="49"/>
    </row>
    <row r="12" spans="1:11" ht="15" thickBot="1">
      <c r="A12" s="76"/>
      <c r="B12" s="44" t="s">
        <v>13</v>
      </c>
      <c r="C12" s="65">
        <v>46200</v>
      </c>
      <c r="D12" s="65">
        <v>46202</v>
      </c>
      <c r="E12" s="45"/>
      <c r="F12" s="45"/>
      <c r="G12" s="46">
        <v>1</v>
      </c>
      <c r="H12" s="44" t="s">
        <v>12</v>
      </c>
      <c r="I12" s="78"/>
      <c r="J12" s="72"/>
      <c r="K12" s="48"/>
    </row>
    <row r="13" spans="1:11" ht="15" thickBot="1">
      <c r="A13" s="75" t="s">
        <v>19</v>
      </c>
      <c r="B13" s="38" t="s">
        <v>11</v>
      </c>
      <c r="C13" s="66">
        <v>46392</v>
      </c>
      <c r="D13" s="66">
        <v>46402</v>
      </c>
      <c r="E13" s="39"/>
      <c r="F13" s="39"/>
      <c r="G13" s="40">
        <v>0</v>
      </c>
      <c r="H13" s="38" t="s">
        <v>15</v>
      </c>
      <c r="I13" s="79">
        <v>46419</v>
      </c>
      <c r="J13" s="71"/>
      <c r="K13" s="49"/>
    </row>
    <row r="14" spans="1:11" ht="15" thickBot="1">
      <c r="A14" s="76"/>
      <c r="B14" s="35" t="s">
        <v>13</v>
      </c>
      <c r="C14" s="66">
        <v>46423</v>
      </c>
      <c r="D14" s="66">
        <v>46428</v>
      </c>
      <c r="E14" s="36"/>
      <c r="F14" s="36"/>
      <c r="G14" s="37">
        <v>0</v>
      </c>
      <c r="H14" s="35" t="s">
        <v>15</v>
      </c>
      <c r="I14" s="80"/>
      <c r="J14" s="72"/>
      <c r="K14" s="48"/>
    </row>
    <row r="15" spans="1:11" ht="15" thickBot="1">
      <c r="A15" s="75" t="s">
        <v>20</v>
      </c>
      <c r="B15" s="41" t="s">
        <v>11</v>
      </c>
      <c r="C15" s="65">
        <v>46168</v>
      </c>
      <c r="D15" s="65">
        <v>46188</v>
      </c>
      <c r="E15" s="42"/>
      <c r="F15" s="42"/>
      <c r="G15" s="43">
        <v>1</v>
      </c>
      <c r="H15" s="41" t="s">
        <v>12</v>
      </c>
      <c r="I15" s="77">
        <v>46199</v>
      </c>
      <c r="J15" s="71"/>
      <c r="K15" s="49"/>
    </row>
    <row r="16" spans="1:11" ht="15" thickBot="1">
      <c r="A16" s="76"/>
      <c r="B16" s="44" t="s">
        <v>13</v>
      </c>
      <c r="C16" s="65">
        <v>46198</v>
      </c>
      <c r="D16" s="65">
        <v>46199</v>
      </c>
      <c r="E16" s="45"/>
      <c r="F16" s="45"/>
      <c r="G16" s="46">
        <v>1</v>
      </c>
      <c r="H16" s="44" t="s">
        <v>12</v>
      </c>
      <c r="I16" s="78"/>
      <c r="J16" s="72"/>
      <c r="K16" s="48"/>
    </row>
    <row r="17" spans="1:11" ht="15" thickBot="1">
      <c r="A17" s="81" t="s">
        <v>21</v>
      </c>
      <c r="B17" s="32" t="s">
        <v>11</v>
      </c>
      <c r="C17" s="65">
        <v>46188</v>
      </c>
      <c r="D17" s="65">
        <v>46198</v>
      </c>
      <c r="E17" s="33"/>
      <c r="F17" s="33"/>
      <c r="G17" s="34">
        <v>0.8</v>
      </c>
      <c r="H17" s="32" t="s">
        <v>12</v>
      </c>
      <c r="I17" s="77">
        <v>46305</v>
      </c>
      <c r="J17" s="74"/>
      <c r="K17" s="50"/>
    </row>
    <row r="18" spans="1:11" ht="15" thickBot="1">
      <c r="A18" s="76"/>
      <c r="B18" s="35" t="s">
        <v>13</v>
      </c>
      <c r="C18" s="67">
        <v>46296</v>
      </c>
      <c r="D18" s="67">
        <v>46298</v>
      </c>
      <c r="E18" s="36"/>
      <c r="F18" s="36"/>
      <c r="G18" s="37">
        <v>0.4</v>
      </c>
      <c r="H18" s="35" t="s">
        <v>22</v>
      </c>
      <c r="I18" s="78"/>
      <c r="J18" s="72"/>
      <c r="K18" s="48"/>
    </row>
    <row r="19" spans="1:11" ht="15" thickBot="1">
      <c r="A19" s="81" t="s">
        <v>23</v>
      </c>
      <c r="B19" s="32" t="s">
        <v>11</v>
      </c>
      <c r="C19" s="66">
        <v>46366</v>
      </c>
      <c r="D19" s="66">
        <v>46381</v>
      </c>
      <c r="E19" s="33"/>
      <c r="F19" s="33"/>
      <c r="G19" s="34">
        <v>0</v>
      </c>
      <c r="H19" s="32" t="s">
        <v>15</v>
      </c>
      <c r="I19" s="79">
        <v>46419</v>
      </c>
      <c r="J19" s="74"/>
      <c r="K19" s="50"/>
    </row>
    <row r="20" spans="1:11" ht="15" thickBot="1">
      <c r="A20" s="76"/>
      <c r="B20" s="35" t="s">
        <v>13</v>
      </c>
      <c r="C20" s="66">
        <v>46388</v>
      </c>
      <c r="D20" s="66">
        <v>46390</v>
      </c>
      <c r="E20" s="36"/>
      <c r="F20" s="36"/>
      <c r="G20" s="37">
        <v>0</v>
      </c>
      <c r="H20" s="35" t="s">
        <v>15</v>
      </c>
      <c r="I20" s="80"/>
      <c r="J20" s="72"/>
      <c r="K20" s="48"/>
    </row>
    <row r="21" spans="1:11" ht="15" thickBot="1">
      <c r="A21" s="75" t="s">
        <v>24</v>
      </c>
      <c r="B21" s="38" t="s">
        <v>11</v>
      </c>
      <c r="C21" s="66">
        <v>46240</v>
      </c>
      <c r="D21" s="66">
        <v>46249</v>
      </c>
      <c r="E21" s="39"/>
      <c r="F21" s="39"/>
      <c r="G21" s="40">
        <v>0</v>
      </c>
      <c r="H21" s="38" t="s">
        <v>15</v>
      </c>
      <c r="I21" s="79">
        <v>46397</v>
      </c>
      <c r="J21" s="71"/>
      <c r="K21" s="51"/>
    </row>
    <row r="22" spans="1:11" ht="15" thickBot="1">
      <c r="A22" s="76"/>
      <c r="B22" s="35" t="s">
        <v>13</v>
      </c>
      <c r="C22" s="66">
        <v>46327</v>
      </c>
      <c r="D22" s="66">
        <v>46329</v>
      </c>
      <c r="E22" s="36"/>
      <c r="F22" s="36"/>
      <c r="G22" s="37">
        <v>0</v>
      </c>
      <c r="H22" s="35" t="s">
        <v>15</v>
      </c>
      <c r="I22" s="80"/>
      <c r="J22" s="72"/>
      <c r="K22" s="52"/>
    </row>
    <row r="23" spans="1:11" ht="15" thickBot="1">
      <c r="A23" s="75" t="s">
        <v>25</v>
      </c>
      <c r="B23" s="41" t="s">
        <v>11</v>
      </c>
      <c r="C23" s="65">
        <v>46197</v>
      </c>
      <c r="D23" s="65">
        <v>46209</v>
      </c>
      <c r="E23" s="42"/>
      <c r="F23" s="42"/>
      <c r="G23" s="43">
        <v>1</v>
      </c>
      <c r="H23" s="41" t="s">
        <v>12</v>
      </c>
      <c r="I23" s="77">
        <v>46237</v>
      </c>
      <c r="J23" s="71"/>
      <c r="K23" s="51"/>
    </row>
    <row r="24" spans="1:11" ht="15" thickBot="1">
      <c r="A24" s="76"/>
      <c r="B24" s="44" t="s">
        <v>13</v>
      </c>
      <c r="C24" s="65">
        <v>46209</v>
      </c>
      <c r="D24" s="65">
        <v>46211</v>
      </c>
      <c r="E24" s="45"/>
      <c r="F24" s="45"/>
      <c r="G24" s="46">
        <v>1</v>
      </c>
      <c r="H24" s="44" t="s">
        <v>12</v>
      </c>
      <c r="I24" s="78"/>
      <c r="J24" s="72"/>
      <c r="K24" s="52"/>
    </row>
    <row r="25" spans="1:11" ht="15" thickBot="1">
      <c r="A25" s="75" t="s">
        <v>26</v>
      </c>
      <c r="B25" s="41" t="s">
        <v>11</v>
      </c>
      <c r="C25" s="65">
        <v>46185</v>
      </c>
      <c r="D25" s="65">
        <v>46188</v>
      </c>
      <c r="E25" s="42"/>
      <c r="F25" s="42"/>
      <c r="G25" s="43">
        <v>1</v>
      </c>
      <c r="H25" s="41" t="s">
        <v>12</v>
      </c>
      <c r="I25" s="77">
        <v>46188</v>
      </c>
      <c r="J25" s="71"/>
      <c r="K25" s="51"/>
    </row>
    <row r="26" spans="1:11" ht="15" thickBot="1">
      <c r="A26" s="76"/>
      <c r="B26" s="44" t="s">
        <v>13</v>
      </c>
      <c r="C26" s="65">
        <v>46185</v>
      </c>
      <c r="D26" s="65">
        <v>46188</v>
      </c>
      <c r="E26" s="45"/>
      <c r="F26" s="45"/>
      <c r="G26" s="46">
        <v>1</v>
      </c>
      <c r="H26" s="44" t="s">
        <v>12</v>
      </c>
      <c r="I26" s="78"/>
      <c r="J26" s="72"/>
      <c r="K26" s="52"/>
    </row>
    <row r="27" spans="1:11" ht="15" thickBot="1">
      <c r="A27" s="75" t="s">
        <v>27</v>
      </c>
      <c r="B27" s="38" t="s">
        <v>11</v>
      </c>
      <c r="C27" s="68">
        <v>46275</v>
      </c>
      <c r="D27" s="68">
        <v>46295</v>
      </c>
      <c r="E27" s="39"/>
      <c r="F27" s="39"/>
      <c r="G27" s="40">
        <v>0</v>
      </c>
      <c r="H27" s="38" t="s">
        <v>22</v>
      </c>
      <c r="I27" s="79">
        <v>46382</v>
      </c>
      <c r="J27" s="71"/>
      <c r="K27" s="51"/>
    </row>
    <row r="28" spans="1:11" ht="15" thickBot="1">
      <c r="A28" s="76"/>
      <c r="B28" s="35" t="s">
        <v>13</v>
      </c>
      <c r="C28" s="68">
        <v>46345</v>
      </c>
      <c r="D28" s="68">
        <v>46347</v>
      </c>
      <c r="E28" s="36"/>
      <c r="F28" s="36"/>
      <c r="G28" s="37">
        <v>0</v>
      </c>
      <c r="H28" s="35" t="s">
        <v>22</v>
      </c>
      <c r="I28" s="80"/>
      <c r="J28" s="72"/>
      <c r="K28" s="52"/>
    </row>
    <row r="29" spans="1:11" ht="15" thickBot="1">
      <c r="A29" s="75" t="s">
        <v>28</v>
      </c>
      <c r="B29" s="41" t="s">
        <v>11</v>
      </c>
      <c r="C29" s="65">
        <v>46091</v>
      </c>
      <c r="D29" s="65">
        <v>46100</v>
      </c>
      <c r="E29" s="42"/>
      <c r="F29" s="42"/>
      <c r="G29" s="43">
        <v>1</v>
      </c>
      <c r="H29" s="41" t="s">
        <v>12</v>
      </c>
      <c r="I29" s="77">
        <v>46139</v>
      </c>
      <c r="J29" s="71"/>
      <c r="K29" s="51"/>
    </row>
    <row r="30" spans="1:11" ht="15" thickBot="1">
      <c r="A30" s="76"/>
      <c r="B30" s="44" t="s">
        <v>13</v>
      </c>
      <c r="C30" s="65">
        <v>46120</v>
      </c>
      <c r="D30" s="65">
        <v>46124</v>
      </c>
      <c r="E30" s="45"/>
      <c r="F30" s="45"/>
      <c r="G30" s="46">
        <v>1</v>
      </c>
      <c r="H30" s="44" t="s">
        <v>12</v>
      </c>
      <c r="I30" s="78"/>
      <c r="J30" s="72"/>
      <c r="K30" s="52"/>
    </row>
    <row r="31" spans="1:11" ht="15" thickBot="1">
      <c r="A31" s="75" t="s">
        <v>29</v>
      </c>
      <c r="B31" s="41" t="s">
        <v>11</v>
      </c>
      <c r="C31" s="65">
        <v>46091</v>
      </c>
      <c r="D31" s="65">
        <v>46094</v>
      </c>
      <c r="E31" s="42"/>
      <c r="F31" s="42"/>
      <c r="G31" s="43">
        <v>1</v>
      </c>
      <c r="H31" s="41" t="s">
        <v>12</v>
      </c>
      <c r="I31" s="77">
        <v>46133</v>
      </c>
      <c r="J31" s="71"/>
      <c r="K31" s="51"/>
    </row>
    <row r="32" spans="1:11" ht="15" thickBot="1">
      <c r="A32" s="76"/>
      <c r="B32" s="44" t="s">
        <v>13</v>
      </c>
      <c r="C32" s="65">
        <v>46091</v>
      </c>
      <c r="D32" s="65">
        <v>46094</v>
      </c>
      <c r="E32" s="45"/>
      <c r="F32" s="45"/>
      <c r="G32" s="46">
        <v>1</v>
      </c>
      <c r="H32" s="44" t="s">
        <v>12</v>
      </c>
      <c r="I32" s="78"/>
      <c r="J32" s="72"/>
      <c r="K32" s="52"/>
    </row>
    <row r="33" spans="1:11" ht="15" thickBot="1">
      <c r="A33" s="75" t="s">
        <v>30</v>
      </c>
      <c r="B33" s="38" t="s">
        <v>11</v>
      </c>
      <c r="C33" s="66">
        <v>46237</v>
      </c>
      <c r="D33" s="66">
        <v>46248</v>
      </c>
      <c r="E33" s="39"/>
      <c r="F33" s="39"/>
      <c r="G33" s="40">
        <v>0</v>
      </c>
      <c r="H33" s="38" t="s">
        <v>22</v>
      </c>
      <c r="I33" s="77">
        <v>46342</v>
      </c>
      <c r="J33" s="71"/>
      <c r="K33" s="51"/>
    </row>
    <row r="34" spans="1:11" ht="15" thickBot="1">
      <c r="A34" s="76"/>
      <c r="B34" s="35" t="s">
        <v>13</v>
      </c>
      <c r="C34" s="66">
        <v>46296</v>
      </c>
      <c r="D34" s="66">
        <v>46303</v>
      </c>
      <c r="E34" s="36"/>
      <c r="F34" s="36"/>
      <c r="G34" s="37">
        <v>0</v>
      </c>
      <c r="H34" s="35" t="s">
        <v>22</v>
      </c>
      <c r="I34" s="78"/>
      <c r="J34" s="72"/>
      <c r="K34" s="52"/>
    </row>
    <row r="35" spans="1:11" ht="15" thickBot="1">
      <c r="A35" s="75" t="s">
        <v>31</v>
      </c>
      <c r="B35" s="38" t="s">
        <v>11</v>
      </c>
      <c r="C35" s="65">
        <v>45723</v>
      </c>
      <c r="D35" s="65">
        <v>45729</v>
      </c>
      <c r="E35" s="39"/>
      <c r="F35" s="39"/>
      <c r="G35" s="40">
        <v>1</v>
      </c>
      <c r="H35" s="38" t="s">
        <v>22</v>
      </c>
      <c r="I35" s="77">
        <v>46264</v>
      </c>
      <c r="J35" s="71"/>
      <c r="K35" s="51"/>
    </row>
    <row r="36" spans="1:11" ht="15" thickBot="1">
      <c r="A36" s="76"/>
      <c r="B36" s="35" t="s">
        <v>13</v>
      </c>
      <c r="C36" s="67">
        <v>46259</v>
      </c>
      <c r="D36" s="67">
        <v>46264</v>
      </c>
      <c r="E36" s="36"/>
      <c r="F36" s="36"/>
      <c r="G36" s="37">
        <v>0.9</v>
      </c>
      <c r="H36" s="35" t="s">
        <v>22</v>
      </c>
      <c r="I36" s="78"/>
      <c r="J36" s="72"/>
      <c r="K36" s="52"/>
    </row>
    <row r="37" spans="1:11" ht="15" thickBot="1">
      <c r="A37" s="75" t="s">
        <v>32</v>
      </c>
      <c r="B37" s="38" t="s">
        <v>11</v>
      </c>
      <c r="C37" s="65">
        <v>45723</v>
      </c>
      <c r="D37" s="65">
        <v>45729</v>
      </c>
      <c r="E37" s="39"/>
      <c r="F37" s="39"/>
      <c r="G37" s="40">
        <v>1</v>
      </c>
      <c r="H37" s="38" t="s">
        <v>22</v>
      </c>
      <c r="I37" s="77">
        <v>46295</v>
      </c>
      <c r="J37" s="71"/>
      <c r="K37" s="51"/>
    </row>
    <row r="38" spans="1:11" ht="15" thickBot="1">
      <c r="A38" s="76"/>
      <c r="B38" s="35" t="s">
        <v>13</v>
      </c>
      <c r="C38" s="66">
        <v>46264</v>
      </c>
      <c r="D38" s="66">
        <v>46275</v>
      </c>
      <c r="E38" s="36"/>
      <c r="F38" s="36"/>
      <c r="G38" s="37">
        <v>0.9</v>
      </c>
      <c r="H38" s="35" t="s">
        <v>22</v>
      </c>
      <c r="I38" s="78"/>
      <c r="J38" s="72"/>
      <c r="K38" s="52"/>
    </row>
    <row r="39" spans="1:11" ht="15" thickBot="1">
      <c r="A39" s="75" t="s">
        <v>91</v>
      </c>
      <c r="B39" s="38" t="s">
        <v>11</v>
      </c>
      <c r="C39" s="69">
        <v>46280</v>
      </c>
      <c r="D39" s="69">
        <v>46290</v>
      </c>
      <c r="E39" s="39"/>
      <c r="F39" s="39"/>
      <c r="G39" s="40">
        <v>0</v>
      </c>
      <c r="H39" s="38" t="s">
        <v>137</v>
      </c>
      <c r="I39" s="77">
        <v>46539</v>
      </c>
      <c r="J39" s="71"/>
      <c r="K39" s="51"/>
    </row>
    <row r="40" spans="1:11" ht="15" thickBot="1">
      <c r="A40" s="76"/>
      <c r="B40" s="55" t="s">
        <v>13</v>
      </c>
      <c r="C40" s="69">
        <v>46510</v>
      </c>
      <c r="D40" s="69">
        <v>46517</v>
      </c>
      <c r="E40" s="56"/>
      <c r="F40" s="56"/>
      <c r="G40" s="57">
        <v>0</v>
      </c>
      <c r="H40" s="55" t="s">
        <v>137</v>
      </c>
      <c r="I40" s="78"/>
      <c r="J40" s="72"/>
      <c r="K40" s="52"/>
    </row>
    <row r="41" spans="1:11" ht="15" thickBot="1">
      <c r="A41" s="75" t="s">
        <v>100</v>
      </c>
      <c r="B41" s="38" t="s">
        <v>11</v>
      </c>
      <c r="C41" s="70">
        <v>46225</v>
      </c>
      <c r="D41" s="70">
        <v>46237</v>
      </c>
      <c r="E41" s="39"/>
      <c r="F41" s="39"/>
      <c r="G41" s="40">
        <v>1</v>
      </c>
      <c r="H41" s="38" t="s">
        <v>12</v>
      </c>
      <c r="I41" s="77">
        <v>46237</v>
      </c>
      <c r="J41" s="71"/>
      <c r="K41" s="51"/>
    </row>
    <row r="42" spans="1:11" ht="15" thickBot="1">
      <c r="A42" s="76"/>
      <c r="B42" s="55" t="s">
        <v>13</v>
      </c>
      <c r="C42" s="69"/>
      <c r="D42" s="69"/>
      <c r="E42" s="56"/>
      <c r="F42" s="56"/>
      <c r="G42" s="57"/>
      <c r="H42" s="55"/>
      <c r="I42" s="78"/>
      <c r="J42" s="72"/>
      <c r="K42" s="52"/>
    </row>
    <row r="43" spans="1:11" ht="15" thickBot="1">
      <c r="A43" s="75" t="s">
        <v>135</v>
      </c>
      <c r="B43" s="38" t="s">
        <v>11</v>
      </c>
      <c r="C43" s="69">
        <v>46290</v>
      </c>
      <c r="D43" s="69">
        <v>46305</v>
      </c>
      <c r="E43" s="39"/>
      <c r="F43" s="39"/>
      <c r="G43" s="40">
        <v>0</v>
      </c>
      <c r="H43" s="38" t="s">
        <v>22</v>
      </c>
      <c r="I43" s="77">
        <v>46447</v>
      </c>
      <c r="J43" s="71"/>
      <c r="K43" s="51"/>
    </row>
    <row r="44" spans="1:11" ht="15" thickBot="1">
      <c r="A44" s="76"/>
      <c r="B44" s="55" t="s">
        <v>13</v>
      </c>
      <c r="C44" s="69">
        <v>46419</v>
      </c>
      <c r="D44" s="69">
        <v>46428</v>
      </c>
      <c r="E44" s="56"/>
      <c r="F44" s="56"/>
      <c r="G44" s="57">
        <v>0</v>
      </c>
      <c r="H44" s="55" t="s">
        <v>22</v>
      </c>
      <c r="I44" s="78"/>
      <c r="J44" s="72"/>
      <c r="K44" s="52"/>
    </row>
  </sheetData>
  <autoFilter ref="A4:K44" xr:uid="{00000000-0001-0000-0000-000000000000}"/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89"/>
  <sheetViews>
    <sheetView zoomScale="85" zoomScaleNormal="85" workbookViewId="0">
      <pane xSplit="1" topLeftCell="B1" activePane="topRight" state="frozen"/>
      <selection pane="topRight" activeCell="D31" sqref="D31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82" t="s">
        <v>33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</row>
    <row r="2" spans="1:22">
      <c r="A2" s="84" t="s">
        <v>34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 hidden="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 hidden="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 hidden="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470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 hidden="1">
      <c r="A14" s="9" t="s">
        <v>25</v>
      </c>
      <c r="B14" s="14" t="s">
        <v>12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f>215+146.7</f>
        <v>361.7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 hidden="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 hidden="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 hidden="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0.4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141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141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 hidden="1">
      <c r="A22" s="9" t="s">
        <v>87</v>
      </c>
      <c r="B22" s="22" t="s">
        <v>12</v>
      </c>
      <c r="C22" s="14" t="s">
        <v>89</v>
      </c>
      <c r="D22" s="15"/>
      <c r="F22" s="24"/>
      <c r="G22" s="9">
        <f>2484+107</f>
        <v>2591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 hidden="1">
      <c r="A24" s="9" t="s">
        <v>100</v>
      </c>
      <c r="B24" s="14" t="s">
        <v>12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139</v>
      </c>
      <c r="U24" s="31" t="s">
        <v>129</v>
      </c>
      <c r="V24" s="19">
        <v>46213</v>
      </c>
    </row>
    <row r="25" spans="1:22" s="9" customFormat="1" ht="18.600000000000001">
      <c r="A25" s="9" t="s">
        <v>135</v>
      </c>
      <c r="B25" s="9" t="s">
        <v>22</v>
      </c>
      <c r="C25" s="9" t="s">
        <v>67</v>
      </c>
      <c r="D25" s="64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136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>
    <filterColumn colId="1">
      <filters blank="1">
        <filter val="Construction"/>
        <filter val="On Hold"/>
      </filters>
    </filterColumn>
  </autoFilter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4" topLeftCell="A17" activePane="bottomLeft" state="frozen"/>
      <selection pane="bottomLeft" activeCell="M17" sqref="M1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82" t="s">
        <v>57</v>
      </c>
      <c r="B1" s="82"/>
      <c r="C1" s="83"/>
      <c r="D1" s="83"/>
    </row>
    <row r="2" spans="1:5">
      <c r="A2" s="84" t="s">
        <v>58</v>
      </c>
      <c r="B2" s="84"/>
      <c r="C2" s="83"/>
      <c r="D2" s="83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3">
        <v>46219</v>
      </c>
      <c r="B26" s="62" t="s">
        <v>107</v>
      </c>
      <c r="C26" s="62" t="s">
        <v>61</v>
      </c>
      <c r="D26" s="61">
        <v>3</v>
      </c>
      <c r="E26" t="s">
        <v>132</v>
      </c>
    </row>
    <row r="27" spans="1:5">
      <c r="A27" s="3">
        <v>46224</v>
      </c>
      <c r="B27" s="62" t="s">
        <v>109</v>
      </c>
      <c r="C27" s="62" t="s">
        <v>61</v>
      </c>
      <c r="D27" s="4">
        <v>2</v>
      </c>
      <c r="E27" t="s">
        <v>133</v>
      </c>
    </row>
    <row r="28" spans="1:5">
      <c r="A28" s="3">
        <v>46226</v>
      </c>
      <c r="B28" s="3" t="s">
        <v>100</v>
      </c>
      <c r="C28" s="63" t="s">
        <v>61</v>
      </c>
      <c r="D28" s="4">
        <v>4</v>
      </c>
      <c r="E28" t="s">
        <v>134</v>
      </c>
    </row>
    <row r="29" spans="1:5">
      <c r="A29" s="3">
        <v>46227</v>
      </c>
      <c r="B29" s="3" t="s">
        <v>138</v>
      </c>
      <c r="C29" s="63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3" t="s">
        <v>61</v>
      </c>
      <c r="D30" s="4">
        <v>2</v>
      </c>
      <c r="E30" t="s">
        <v>140</v>
      </c>
    </row>
    <row r="31" spans="1:5">
      <c r="A31" s="3">
        <v>46234</v>
      </c>
      <c r="B31" s="5" t="s">
        <v>109</v>
      </c>
      <c r="C31" s="63" t="s">
        <v>61</v>
      </c>
      <c r="D31" s="4">
        <v>3</v>
      </c>
      <c r="E31" t="s">
        <v>142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82" t="s">
        <v>75</v>
      </c>
      <c r="B1" s="82"/>
      <c r="C1" s="82"/>
      <c r="D1" s="82"/>
      <c r="E1" s="82"/>
    </row>
    <row r="2" spans="1:5">
      <c r="A2" s="84" t="s">
        <v>76</v>
      </c>
      <c r="B2" s="84"/>
      <c r="C2" s="84"/>
      <c r="D2" s="84"/>
      <c r="E2" s="84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12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15</v>
      </c>
    </row>
    <row r="8" spans="1:5">
      <c r="A8" s="3" t="s">
        <v>143</v>
      </c>
      <c r="B8" s="2" t="s">
        <v>130</v>
      </c>
      <c r="C8" s="6">
        <v>46226</v>
      </c>
      <c r="D8" s="6">
        <v>46249</v>
      </c>
      <c r="E8" t="s">
        <v>79</v>
      </c>
    </row>
    <row r="9" spans="1:5">
      <c r="A9" s="3" t="s">
        <v>131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2026-08-07T10:45:06Z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