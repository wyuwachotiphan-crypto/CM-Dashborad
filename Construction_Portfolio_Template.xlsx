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9" documentId="13_ncr:1_{4D5E45EE-EAC0-4096-82D3-C82E547233F2}" xr6:coauthVersionLast="47" xr6:coauthVersionMax="47" xr10:uidLastSave="{CF6D03B4-0554-400D-B876-6234A4233EA5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E21" i="2"/>
  <c r="E20" i="2"/>
  <c r="G20" i="2"/>
  <c r="G19" i="2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<sst xmlns="http://schemas.openxmlformats.org/spreadsheetml/2006/main" count="196" uniqueCount="69">
  <si>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</si>
  <si>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</si>
  <si>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</si>
  <si>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</si>
  <si>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</si>
  <si>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</si>
  <si>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</si>
  <si>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</si>
  <si>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</si>
  <si>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</si>
  <si>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</si>
  <si>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</si>
  <si>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</si>
  <si>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</si>
  <si>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</si>
  <si>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</si>
  <si>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</si>
  <si>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</si>
  <si>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</si>
  <si>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</si>
  <si>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</si>
  <si>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</si>
  <si>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</si>
  <si>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</si>
  <si>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</si>
  <si>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</si>
  <si>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</si>
  <si>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</si>
  <si>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</si>
  <si>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</si>
  <si>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</si>
  <si>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</si>
  <si>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</si>
  <si>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</si>
  <si>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</si>
  <si>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</si>
  <si>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</si>
  <si>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</si>
  <si>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</si>
  <si>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</si>
  <si>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</si>
  <si>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</si>
  <si>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</si>
  <si>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</si>
  <si>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</si>
  <si>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</si>
  <si>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</si>
  <si>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</si>
  <si>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</si>
  <si>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</si>
  <si>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</si>
  <si>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</si>
  <si>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</si>
  <si>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</si>
  <si>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</si>
  <si>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</si>
  <si>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</si>
  <si>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โครงการล่าช้า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</si>
  <si>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</si>
  <si>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</si>
  <si>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</si>
  <si>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</si>
  <si>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</si>
  <si>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</si>
  <si>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</si>
  <si>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</si>
  <si>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</si>
  <si>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รอลูกค้าคอนเฟิมวันส่งงาน Frist fix 07/10/2026</t>
  </si>
  <si>
    <t>ส่งมอบงานวันเสาร์ ที่ 07/04/2026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</si>
</sst>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Border="1" applyAlignment="1">
      <alignment vertical="center"/>
    </xf>
    <xf numFmtId="0" fontId="9" fillId="0" borderId="0" xfId="0" applyFont="1"/>
    <xf numFmtId="14" fontId="9" fillId="0" borderId="0" xfId="0" applyNumberFormat="1" applyFont="1"/>
    <xf numFmtId="0" fontId="8" fillId="0" borderId="2" xfId="0" applyFont="1" applyBorder="1" applyAlignment="1">
      <alignment vertical="center"/>
    </xf>
    <xf numFmtId="165" fontId="9" fillId="0" borderId="0" xfId="0" applyNumberFormat="1" applyFont="1" applyAlignment="1">
      <alignment vertical="center"/>
    </xf>
    <xf numFmtId="165" fontId="9" fillId="0" borderId="0" xfId="1" applyNumberFormat="1" applyFont="1" applyAlignment="1"/>
    <xf numFmtId="43" fontId="8" fillId="0" borderId="1" xfId="1" applyFont="1" applyBorder="1" applyAlignment="1">
      <alignment vertical="center"/>
    </xf>
    <xf numFmtId="43" fontId="9" fillId="0" borderId="0" xfId="1" applyFont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0" fontId="5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5" fillId="3" borderId="1" xfId="0" applyNumberFormat="1" applyFont="1" applyFill="1" applyBorder="1" applyAlignment="1">
      <alignment horizontal="center" vertical="center"/>
    </xf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17" activePane="bottomLeft" state="frozen"/>
      <selection pane="bottomLeft" activeCell="B39" sqref="B39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9" t="s">
        <v>0</v>
      </c>
      <c r="B1" s="28"/>
      <c r="C1" s="28"/>
      <c r="D1" s="28"/>
      <c r="E1" s="28"/>
      <c r="F1" s="28"/>
      <c r="G1" s="28"/>
      <c r="H1" s="28"/>
    </row>
    <row r="2" spans="1:8" x14ac:dyDescent="0.3">
      <c r="A2" s="27" t="s">
        <v>1</v>
      </c>
      <c r="B2" s="28"/>
      <c r="C2" s="28"/>
      <c r="D2" s="28"/>
      <c r="E2" s="28"/>
      <c r="F2" s="28"/>
      <c r="G2" s="28"/>
      <c r="H2" s="28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30" t="s">
        <v>10</v>
      </c>
      <c r="B5" s="5" t="s">
        <v>11</v>
      </c>
      <c r="C5" s="6">
        <v>46084</v>
      </c>
      <c r="D5" s="6">
        <v>46127</v>
      </c>
      <c r="E5" s="7">
        <v>1</v>
      </c>
      <c r="F5" s="5" t="s">
        <v>12</v>
      </c>
      <c r="G5" s="32">
        <v>46213</v>
      </c>
      <c r="H5" s="5"/>
    </row>
    <row r="6" spans="1:8" x14ac:dyDescent="0.3">
      <c r="A6" s="31"/>
      <c r="B6" s="5" t="s">
        <v>13</v>
      </c>
      <c r="C6" s="6">
        <v>46189</v>
      </c>
      <c r="D6" s="6">
        <v>46189</v>
      </c>
      <c r="E6" s="7">
        <v>1</v>
      </c>
      <c r="F6" s="5" t="s">
        <v>12</v>
      </c>
      <c r="G6" s="31"/>
      <c r="H6" s="5"/>
    </row>
    <row r="7" spans="1:8" x14ac:dyDescent="0.3">
      <c r="A7" s="30" t="s">
        <v>14</v>
      </c>
      <c r="B7" s="5" t="s">
        <v>11</v>
      </c>
      <c r="C7" s="6">
        <v>46219</v>
      </c>
      <c r="D7" s="6">
        <v>46233</v>
      </c>
      <c r="E7" s="7">
        <v>0</v>
      </c>
      <c r="F7" s="5" t="s">
        <v>15</v>
      </c>
      <c r="G7" s="32" t="s">
        <v>16</v>
      </c>
      <c r="H7" s="5"/>
    </row>
    <row r="8" spans="1:8" x14ac:dyDescent="0.3">
      <c r="A8" s="31"/>
      <c r="B8" s="5" t="s">
        <v>13</v>
      </c>
      <c r="C8" s="6">
        <v>46244</v>
      </c>
      <c r="D8" s="6">
        <v>46247</v>
      </c>
      <c r="E8" s="7">
        <v>0</v>
      </c>
      <c r="F8" s="5" t="s">
        <v>15</v>
      </c>
      <c r="G8" s="31"/>
      <c r="H8" s="5"/>
    </row>
    <row r="9" spans="1:8" x14ac:dyDescent="0.3">
      <c r="A9" s="30" t="s">
        <v>17</v>
      </c>
      <c r="B9" s="5" t="s">
        <v>11</v>
      </c>
      <c r="C9" s="6">
        <v>46082</v>
      </c>
      <c r="D9" s="6">
        <v>46096</v>
      </c>
      <c r="E9" s="7">
        <v>1</v>
      </c>
      <c r="F9" s="5" t="s">
        <v>12</v>
      </c>
      <c r="G9" s="32">
        <v>46204</v>
      </c>
      <c r="H9" s="5"/>
    </row>
    <row r="10" spans="1:8" x14ac:dyDescent="0.3">
      <c r="A10" s="31"/>
      <c r="B10" s="5" t="s">
        <v>13</v>
      </c>
      <c r="C10" s="6">
        <v>46168</v>
      </c>
      <c r="D10" s="6">
        <v>46213</v>
      </c>
      <c r="E10" s="7">
        <v>1</v>
      </c>
      <c r="F10" s="5" t="s">
        <v>12</v>
      </c>
      <c r="G10" s="31"/>
      <c r="H10" s="5"/>
    </row>
    <row r="11" spans="1:8" x14ac:dyDescent="0.3">
      <c r="A11" s="30" t="s">
        <v>18</v>
      </c>
      <c r="B11" s="5" t="s">
        <v>11</v>
      </c>
      <c r="C11" s="6">
        <v>46184</v>
      </c>
      <c r="D11" s="6">
        <v>46191</v>
      </c>
      <c r="E11" s="7">
        <v>1</v>
      </c>
      <c r="F11" s="5" t="s">
        <v>12</v>
      </c>
      <c r="G11" s="32">
        <v>46171</v>
      </c>
      <c r="H11" s="5"/>
    </row>
    <row r="12" spans="1:8" x14ac:dyDescent="0.3">
      <c r="A12" s="31"/>
      <c r="B12" s="5" t="s">
        <v>13</v>
      </c>
      <c r="C12" s="6">
        <v>46200</v>
      </c>
      <c r="D12" s="6">
        <v>46202</v>
      </c>
      <c r="E12" s="7">
        <v>1</v>
      </c>
      <c r="F12" s="5" t="s">
        <v>12</v>
      </c>
      <c r="G12" s="31"/>
      <c r="H12" s="5"/>
    </row>
    <row r="13" spans="1:8" x14ac:dyDescent="0.3">
      <c r="A13" s="30" t="s">
        <v>19</v>
      </c>
      <c r="B13" s="5" t="s">
        <v>11</v>
      </c>
      <c r="C13" s="6">
        <v>46392</v>
      </c>
      <c r="D13" s="6">
        <v>46402</v>
      </c>
      <c r="E13" s="7">
        <v>0</v>
      </c>
      <c r="F13" s="5" t="s">
        <v>15</v>
      </c>
      <c r="G13" s="32" t="s">
        <v>16</v>
      </c>
      <c r="H13" s="5"/>
    </row>
    <row r="14" spans="1:8" x14ac:dyDescent="0.3">
      <c r="A14" s="31"/>
      <c r="B14" s="5" t="s">
        <v>13</v>
      </c>
      <c r="C14" s="6">
        <v>46042</v>
      </c>
      <c r="D14" s="6">
        <v>46042</v>
      </c>
      <c r="E14" s="7">
        <v>0</v>
      </c>
      <c r="F14" s="5" t="s">
        <v>15</v>
      </c>
      <c r="G14" s="31"/>
      <c r="H14" s="5"/>
    </row>
    <row r="15" spans="1:8" x14ac:dyDescent="0.3">
      <c r="A15" s="30" t="s">
        <v>20</v>
      </c>
      <c r="B15" s="5" t="s">
        <v>11</v>
      </c>
      <c r="C15" s="6">
        <v>46168</v>
      </c>
      <c r="D15" s="6">
        <v>46188</v>
      </c>
      <c r="E15" s="7">
        <v>1</v>
      </c>
      <c r="F15" s="5" t="s">
        <v>12</v>
      </c>
      <c r="G15" s="32">
        <v>46199</v>
      </c>
      <c r="H15" s="5"/>
    </row>
    <row r="16" spans="1:8" x14ac:dyDescent="0.3">
      <c r="A16" s="31"/>
      <c r="B16" s="5" t="s">
        <v>13</v>
      </c>
      <c r="C16" s="6">
        <v>46198</v>
      </c>
      <c r="D16" s="6">
        <v>46199</v>
      </c>
      <c r="E16" s="7">
        <v>1</v>
      </c>
      <c r="F16" s="5" t="s">
        <v>12</v>
      </c>
      <c r="G16" s="31"/>
      <c r="H16" s="5"/>
    </row>
    <row r="17" spans="1:8" x14ac:dyDescent="0.3">
      <c r="A17" s="30" t="s">
        <v>21</v>
      </c>
      <c r="B17" s="5" t="s">
        <v>11</v>
      </c>
      <c r="C17" s="6">
        <v>46188</v>
      </c>
      <c r="D17" s="6">
        <v>46198</v>
      </c>
      <c r="E17" s="7">
        <v>1</v>
      </c>
      <c r="F17" s="5" t="s">
        <v>12</v>
      </c>
      <c r="G17" s="32">
        <v>46305</v>
      </c>
      <c r="H17" s="5"/>
    </row>
    <row r="18" spans="1:8" x14ac:dyDescent="0.3">
      <c r="A18" s="31"/>
      <c r="B18" s="5" t="s">
        <v>13</v>
      </c>
      <c r="C18" s="6">
        <v>46296</v>
      </c>
      <c r="D18" s="6">
        <v>46298</v>
      </c>
      <c r="E18" s="7">
        <v>0.4</v>
      </c>
      <c r="F18" s="5" t="s">
        <v>22</v>
      </c>
      <c r="G18" s="31"/>
      <c r="H18" s="5"/>
    </row>
    <row r="19" spans="1:8" x14ac:dyDescent="0.3">
      <c r="A19" s="30" t="s">
        <v>23</v>
      </c>
      <c r="B19" s="5" t="s">
        <v>11</v>
      </c>
      <c r="C19" s="6">
        <v>46275</v>
      </c>
      <c r="D19" s="6">
        <v>46290</v>
      </c>
      <c r="E19" s="7">
        <v>0</v>
      </c>
      <c r="F19" s="5" t="s">
        <v>15</v>
      </c>
      <c r="G19" s="32">
        <v>46336</v>
      </c>
      <c r="H19" s="5"/>
    </row>
    <row r="20" spans="1:8" x14ac:dyDescent="0.3">
      <c r="A20" s="31"/>
      <c r="B20" s="5" t="s">
        <v>13</v>
      </c>
      <c r="C20" s="6">
        <v>46327</v>
      </c>
      <c r="D20" s="6">
        <v>46329</v>
      </c>
      <c r="E20" s="7">
        <v>0</v>
      </c>
      <c r="F20" s="5" t="s">
        <v>15</v>
      </c>
      <c r="G20" s="31"/>
      <c r="H20" s="5"/>
    </row>
    <row r="21" spans="1:8" x14ac:dyDescent="0.3">
      <c r="A21" s="30" t="s">
        <v>24</v>
      </c>
      <c r="B21" s="5" t="s">
        <v>11</v>
      </c>
      <c r="C21" s="6">
        <v>46240</v>
      </c>
      <c r="D21" s="6">
        <v>46249</v>
      </c>
      <c r="E21" s="7">
        <v>0</v>
      </c>
      <c r="F21" s="5" t="s">
        <v>15</v>
      </c>
      <c r="G21" s="32">
        <v>46336</v>
      </c>
    </row>
    <row r="22" spans="1:8" x14ac:dyDescent="0.3">
      <c r="A22" s="31"/>
      <c r="B22" s="5" t="s">
        <v>13</v>
      </c>
      <c r="C22" s="6">
        <v>46327</v>
      </c>
      <c r="D22" s="6">
        <v>46329</v>
      </c>
      <c r="E22" s="7">
        <v>0</v>
      </c>
      <c r="F22" s="5" t="s">
        <v>15</v>
      </c>
      <c r="G22" s="31"/>
    </row>
    <row r="23" spans="1:8" x14ac:dyDescent="0.3">
      <c r="A23" s="30" t="s">
        <v>25</v>
      </c>
      <c r="B23" s="5" t="s">
        <v>11</v>
      </c>
      <c r="C23" s="6">
        <v>46190</v>
      </c>
      <c r="D23" s="6">
        <v>46206</v>
      </c>
      <c r="E23" s="7">
        <v>0.5</v>
      </c>
      <c r="F23" s="5" t="s">
        <v>22</v>
      </c>
      <c r="G23" s="32">
        <v>46218</v>
      </c>
    </row>
    <row r="24" spans="1:8" x14ac:dyDescent="0.3">
      <c r="A24" s="31"/>
      <c r="B24" s="5" t="s">
        <v>13</v>
      </c>
      <c r="C24" s="6">
        <v>46209</v>
      </c>
      <c r="D24" s="6">
        <v>46211</v>
      </c>
      <c r="E24" s="7">
        <v>0</v>
      </c>
      <c r="F24" s="5" t="s">
        <v>22</v>
      </c>
      <c r="G24" s="31"/>
    </row>
    <row r="25" spans="1:8" x14ac:dyDescent="0.3">
      <c r="A25" s="30" t="s">
        <v>26</v>
      </c>
      <c r="B25" s="5" t="s">
        <v>11</v>
      </c>
      <c r="C25" s="6">
        <v>46185</v>
      </c>
      <c r="D25" s="6">
        <v>46188</v>
      </c>
      <c r="E25" s="7">
        <v>1</v>
      </c>
      <c r="F25" s="5" t="s">
        <v>12</v>
      </c>
      <c r="G25" s="32">
        <v>46188</v>
      </c>
    </row>
    <row r="26" spans="1:8" x14ac:dyDescent="0.3">
      <c r="A26" s="31"/>
      <c r="B26" s="5" t="s">
        <v>13</v>
      </c>
      <c r="C26" s="6">
        <v>46185</v>
      </c>
      <c r="D26" s="6">
        <v>46188</v>
      </c>
      <c r="E26" s="7">
        <v>1</v>
      </c>
      <c r="F26" s="5" t="s">
        <v>12</v>
      </c>
      <c r="G26" s="31"/>
    </row>
    <row r="27" spans="1:8" x14ac:dyDescent="0.3">
      <c r="A27" s="30" t="s">
        <v>27</v>
      </c>
      <c r="B27" s="5" t="s">
        <v>11</v>
      </c>
      <c r="C27" s="6">
        <v>46234</v>
      </c>
      <c r="D27" s="6">
        <v>46247</v>
      </c>
      <c r="E27" s="7">
        <v>0</v>
      </c>
      <c r="F27" s="5" t="s">
        <v>22</v>
      </c>
      <c r="G27" s="32">
        <v>46321</v>
      </c>
    </row>
    <row r="28" spans="1:8" x14ac:dyDescent="0.3">
      <c r="A28" s="31"/>
      <c r="B28" s="5" t="s">
        <v>13</v>
      </c>
      <c r="C28" s="6">
        <v>46314</v>
      </c>
      <c r="D28" s="6">
        <v>46316</v>
      </c>
      <c r="E28" s="7">
        <v>0</v>
      </c>
      <c r="F28" s="5" t="s">
        <v>22</v>
      </c>
      <c r="G28" s="31"/>
    </row>
    <row r="29" spans="1:8" x14ac:dyDescent="0.3">
      <c r="A29" s="30" t="s">
        <v>28</v>
      </c>
      <c r="B29" s="5" t="s">
        <v>11</v>
      </c>
      <c r="C29" s="6">
        <v>46091</v>
      </c>
      <c r="D29" s="6">
        <v>46100</v>
      </c>
      <c r="E29" s="7">
        <v>1</v>
      </c>
      <c r="F29" s="5" t="s">
        <v>12</v>
      </c>
      <c r="G29" s="32">
        <v>46139</v>
      </c>
    </row>
    <row r="30" spans="1:8" x14ac:dyDescent="0.3">
      <c r="A30" s="31"/>
      <c r="B30" s="5" t="s">
        <v>13</v>
      </c>
      <c r="C30" s="6">
        <v>46120</v>
      </c>
      <c r="D30" s="6">
        <v>46124</v>
      </c>
      <c r="E30" s="7">
        <v>1</v>
      </c>
      <c r="F30" s="5" t="s">
        <v>12</v>
      </c>
      <c r="G30" s="31"/>
    </row>
    <row r="31" spans="1:8" x14ac:dyDescent="0.3">
      <c r="A31" s="30" t="s">
        <v>29</v>
      </c>
      <c r="B31" s="5" t="s">
        <v>11</v>
      </c>
      <c r="C31" s="6">
        <v>46091</v>
      </c>
      <c r="D31" s="6">
        <v>46094</v>
      </c>
      <c r="E31" s="7">
        <v>1</v>
      </c>
      <c r="F31" s="5" t="s">
        <v>12</v>
      </c>
      <c r="G31" s="32">
        <v>46133</v>
      </c>
    </row>
    <row r="32" spans="1:8" x14ac:dyDescent="0.3">
      <c r="A32" s="31"/>
      <c r="B32" s="5" t="s">
        <v>13</v>
      </c>
      <c r="C32" s="6">
        <v>46091</v>
      </c>
      <c r="D32" s="6">
        <v>46094</v>
      </c>
      <c r="E32" s="7">
        <v>1</v>
      </c>
      <c r="F32" s="5" t="s">
        <v>12</v>
      </c>
      <c r="G32" s="31"/>
    </row>
    <row r="33" spans="1:7" x14ac:dyDescent="0.3">
      <c r="A33" s="30" t="s">
        <v>30</v>
      </c>
      <c r="B33" s="5" t="s">
        <v>11</v>
      </c>
      <c r="C33" s="6">
        <v>46091</v>
      </c>
      <c r="D33" s="6">
        <v>46094</v>
      </c>
      <c r="E33" s="7">
        <v>0</v>
      </c>
      <c r="F33" s="5" t="s">
        <v>22</v>
      </c>
      <c r="G33" s="32">
        <v>46295</v>
      </c>
    </row>
    <row r="34" spans="1:7" x14ac:dyDescent="0.3">
      <c r="A34" s="31"/>
      <c r="B34" s="5" t="s">
        <v>13</v>
      </c>
      <c r="C34" s="6">
        <v>46091</v>
      </c>
      <c r="D34" s="6">
        <v>46094</v>
      </c>
      <c r="E34" s="7">
        <v>0</v>
      </c>
      <c r="F34" s="5" t="s">
        <v>22</v>
      </c>
      <c r="G34" s="31"/>
    </row>
    <row r="35" spans="1:7" x14ac:dyDescent="0.3">
      <c r="A35" s="30" t="s">
        <v>31</v>
      </c>
      <c r="B35" s="5" t="s">
        <v>11</v>
      </c>
      <c r="C35" s="6">
        <v>45723</v>
      </c>
      <c r="D35" s="6">
        <v>45729</v>
      </c>
      <c r="E35" s="7">
        <v>1</v>
      </c>
      <c r="F35" s="5" t="s">
        <v>22</v>
      </c>
      <c r="G35" s="32">
        <v>45737</v>
      </c>
    </row>
    <row r="36" spans="1:7" x14ac:dyDescent="0.3">
      <c r="A36" s="31"/>
      <c r="B36" s="5" t="s">
        <v>13</v>
      </c>
      <c r="C36" s="6">
        <v>45729</v>
      </c>
      <c r="D36" s="6">
        <v>45732</v>
      </c>
      <c r="E36" s="7">
        <v>0.9</v>
      </c>
      <c r="F36" s="5" t="s">
        <v>22</v>
      </c>
      <c r="G36" s="31"/>
    </row>
    <row r="37" spans="1:7" x14ac:dyDescent="0.3">
      <c r="A37" s="30" t="s">
        <v>32</v>
      </c>
      <c r="B37" s="5" t="s">
        <v>11</v>
      </c>
      <c r="C37" s="6">
        <v>45723</v>
      </c>
      <c r="D37" s="6">
        <v>45729</v>
      </c>
      <c r="E37" s="7">
        <v>1</v>
      </c>
      <c r="F37" s="5" t="s">
        <v>22</v>
      </c>
      <c r="G37" s="32">
        <v>45737</v>
      </c>
    </row>
    <row r="38" spans="1:7" x14ac:dyDescent="0.3">
      <c r="A38" s="31"/>
      <c r="B38" s="5" t="s">
        <v>13</v>
      </c>
      <c r="C38" s="6">
        <v>45729</v>
      </c>
      <c r="D38" s="6">
        <v>45732</v>
      </c>
      <c r="E38" s="7">
        <v>0.9</v>
      </c>
      <c r="F38" s="5" t="s">
        <v>22</v>
      </c>
      <c r="G38" s="31"/>
    </row>
  </sheetData>
  <mergeCells count="36"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  <mergeCell ref="A21:A22"/>
    <mergeCell ref="G21:G22"/>
    <mergeCell ref="A9:A10"/>
    <mergeCell ref="A13:A14"/>
    <mergeCell ref="A35:A36"/>
    <mergeCell ref="G35:G36"/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abSelected="1" topLeftCell="A3" workbookViewId="0">
      <pane xSplit="1" topLeftCell="B1" activePane="topRight" state="frozen"/>
      <selection pane="topRight" activeCell="J17" sqref="J17"/>
    </sheetView>
  </sheetViews>
  <sheetFormatPr defaultRowHeight="14.4" x14ac:dyDescent="0.3"/>
  <cols>
    <col min="1" max="1" width="37.3320312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9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spans="1:19" x14ac:dyDescent="0.3">
      <c r="A2" s="27" t="s">
        <v>34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</row>
    <row r="4" spans="1:19" ht="41.4" x14ac:dyDescent="0.3">
      <c r="A4" s="1" t="s">
        <v>2</v>
      </c>
      <c r="B4" s="1" t="s">
        <v>7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  <c r="P4" s="1" t="s">
        <v>4</v>
      </c>
      <c r="Q4" s="1" t="s">
        <v>5</v>
      </c>
      <c r="R4" s="1" t="s">
        <v>48</v>
      </c>
      <c r="S4" s="1" t="s">
        <v>9</v>
      </c>
    </row>
    <row r="5" spans="1:19" s="19" customFormat="1" ht="18.600000000000001" x14ac:dyDescent="0.55000000000000004">
      <c r="A5" s="9" t="s">
        <v>10</v>
      </c>
      <c r="B5" s="9" t="s">
        <v>22</v>
      </c>
      <c r="C5" s="10">
        <v>0.9</v>
      </c>
      <c r="D5" s="11">
        <v>326786.36</v>
      </c>
      <c r="E5" s="11">
        <f>O5</f>
        <v>130000</v>
      </c>
      <c r="F5" s="11"/>
      <c r="G5" s="11">
        <f>D5*0.8</f>
        <v>261429.08799999999</v>
      </c>
      <c r="H5" s="12">
        <v>12</v>
      </c>
      <c r="I5" s="12"/>
      <c r="J5" s="9"/>
      <c r="K5" s="11">
        <v>5198</v>
      </c>
      <c r="L5" s="11"/>
      <c r="M5" s="11">
        <v>0</v>
      </c>
      <c r="N5" s="9" t="s">
        <v>49</v>
      </c>
      <c r="O5" s="24">
        <v>130000</v>
      </c>
      <c r="P5" s="13">
        <f>'[1]Master Schedule'!C5</f>
        <v>46084</v>
      </c>
      <c r="Q5" s="13">
        <v>46106</v>
      </c>
      <c r="R5" s="9"/>
      <c r="S5" s="9" t="s">
        <v>50</v>
      </c>
    </row>
    <row r="6" spans="1:19" s="19" customFormat="1" ht="18.600000000000001" x14ac:dyDescent="0.55000000000000004">
      <c r="A6" s="9" t="s">
        <v>14</v>
      </c>
      <c r="B6" s="9" t="s">
        <v>15</v>
      </c>
      <c r="C6" s="10">
        <v>0</v>
      </c>
      <c r="D6" s="11">
        <v>409599.64</v>
      </c>
      <c r="E6" s="11">
        <f>O6*0.3</f>
        <v>41833.799999999996</v>
      </c>
      <c r="F6" s="11"/>
      <c r="G6" s="11">
        <f t="shared" ref="G6:G14" si="0">D6*0.4</f>
        <v>163839.85600000003</v>
      </c>
      <c r="H6" s="12">
        <v>0</v>
      </c>
      <c r="I6" s="12"/>
      <c r="J6" s="9"/>
      <c r="K6" s="11">
        <v>6972.5</v>
      </c>
      <c r="L6" s="11"/>
      <c r="M6" s="11">
        <v>0</v>
      </c>
      <c r="N6" s="9" t="s">
        <v>49</v>
      </c>
      <c r="O6" s="24">
        <v>139446</v>
      </c>
      <c r="P6" s="13">
        <f>'[1]Master Schedule'!C6</f>
        <v>46189</v>
      </c>
      <c r="Q6" s="13">
        <v>46264</v>
      </c>
      <c r="R6" s="9"/>
      <c r="S6" s="9" t="s">
        <v>51</v>
      </c>
    </row>
    <row r="7" spans="1:19" s="19" customFormat="1" ht="18.600000000000001" x14ac:dyDescent="0.55000000000000004">
      <c r="A7" s="9" t="s">
        <v>17</v>
      </c>
      <c r="B7" s="9" t="s">
        <v>22</v>
      </c>
      <c r="C7" s="10">
        <v>0.9</v>
      </c>
      <c r="D7" s="11">
        <v>576317.9</v>
      </c>
      <c r="E7" s="11">
        <f t="shared" ref="E7:E18" si="1">O7</f>
        <v>280000</v>
      </c>
      <c r="F7" s="11">
        <v>603</v>
      </c>
      <c r="G7" s="11">
        <f>D7*0.9</f>
        <v>518686.11000000004</v>
      </c>
      <c r="H7" s="12">
        <v>20</v>
      </c>
      <c r="I7" s="12"/>
      <c r="J7" s="9"/>
      <c r="K7" s="11">
        <v>12045</v>
      </c>
      <c r="L7" s="11"/>
      <c r="M7" s="11">
        <v>0</v>
      </c>
      <c r="N7" s="9" t="s">
        <v>49</v>
      </c>
      <c r="O7" s="24">
        <v>280000</v>
      </c>
      <c r="P7" s="13">
        <f>'[1]Master Schedule'!C7</f>
        <v>46219</v>
      </c>
      <c r="Q7" s="13">
        <v>46102</v>
      </c>
      <c r="R7" s="9"/>
      <c r="S7" s="9" t="s">
        <v>52</v>
      </c>
    </row>
    <row r="8" spans="1:19" s="19" customFormat="1" ht="18.600000000000001" x14ac:dyDescent="0.55000000000000004">
      <c r="A8" s="9" t="s">
        <v>18</v>
      </c>
      <c r="B8" s="9" t="s">
        <v>12</v>
      </c>
      <c r="C8" s="10">
        <v>1</v>
      </c>
      <c r="D8" s="11">
        <v>322961.08</v>
      </c>
      <c r="E8" s="11">
        <f t="shared" si="1"/>
        <v>89000</v>
      </c>
      <c r="F8" s="11">
        <v>715</v>
      </c>
      <c r="G8" s="11">
        <f>D8*1</f>
        <v>322961.08</v>
      </c>
      <c r="H8" s="12">
        <v>7</v>
      </c>
      <c r="I8" s="12"/>
      <c r="J8" s="9"/>
      <c r="K8" s="11">
        <v>24166</v>
      </c>
      <c r="L8" s="11"/>
      <c r="M8" s="11">
        <v>1444</v>
      </c>
      <c r="N8" s="9" t="s">
        <v>53</v>
      </c>
      <c r="O8" s="24">
        <v>89000</v>
      </c>
      <c r="P8" s="13">
        <f>'[1]Master Schedule'!C8</f>
        <v>46244</v>
      </c>
      <c r="Q8" s="13">
        <v>46171</v>
      </c>
      <c r="R8" s="9"/>
      <c r="S8" s="9"/>
    </row>
    <row r="9" spans="1:19" s="19" customFormat="1" ht="18.600000000000001" x14ac:dyDescent="0.55000000000000004">
      <c r="A9" s="9" t="s">
        <v>19</v>
      </c>
      <c r="B9" s="9" t="s">
        <v>15</v>
      </c>
      <c r="C9" s="10">
        <v>0</v>
      </c>
      <c r="D9" s="11">
        <v>630619.19999999995</v>
      </c>
      <c r="E9" s="11" t="str">
        <f t="shared" si="1"/>
        <v>-</v>
      </c>
      <c r="F9" s="11"/>
      <c r="G9" s="11">
        <f>D9*0.4</f>
        <v>252247.67999999999</v>
      </c>
      <c r="H9" s="12">
        <v>0</v>
      </c>
      <c r="I9" s="12"/>
      <c r="J9" s="9"/>
      <c r="K9" s="11"/>
      <c r="L9" s="11"/>
      <c r="M9" s="11">
        <v>0</v>
      </c>
      <c r="N9" s="9"/>
      <c r="O9" s="24" t="s">
        <v>16</v>
      </c>
      <c r="P9" s="13">
        <v>46388</v>
      </c>
      <c r="Q9" s="13">
        <v>46447</v>
      </c>
      <c r="R9" s="9"/>
      <c r="S9" s="9"/>
    </row>
    <row r="10" spans="1:19" s="19" customFormat="1" ht="18.600000000000001" x14ac:dyDescent="0.55000000000000004">
      <c r="A10" s="19" t="s">
        <v>20</v>
      </c>
      <c r="B10" s="9" t="s">
        <v>22</v>
      </c>
      <c r="C10" s="10">
        <v>0.9</v>
      </c>
      <c r="D10" s="11">
        <v>338450.2</v>
      </c>
      <c r="E10" s="11">
        <f>O10*0.8</f>
        <v>110400</v>
      </c>
      <c r="F10" s="11">
        <v>370</v>
      </c>
      <c r="G10" s="11">
        <f>D10*0.4</f>
        <v>135380.08000000002</v>
      </c>
      <c r="H10" s="12">
        <v>10</v>
      </c>
      <c r="I10" s="12"/>
      <c r="J10" s="9"/>
      <c r="K10" s="11">
        <v>5783</v>
      </c>
      <c r="L10" s="11"/>
      <c r="M10" s="11">
        <v>787</v>
      </c>
      <c r="N10" s="9" t="s">
        <v>53</v>
      </c>
      <c r="O10" s="24">
        <v>138000</v>
      </c>
      <c r="P10" s="13">
        <f>'[1]Master Schedule'!C10</f>
        <v>46168</v>
      </c>
      <c r="Q10" s="13">
        <v>46199</v>
      </c>
      <c r="R10" s="9"/>
      <c r="S10" s="26" t="s">
        <v>68</v>
      </c>
    </row>
    <row r="11" spans="1:19" s="19" customFormat="1" ht="18.600000000000001" x14ac:dyDescent="0.55000000000000004">
      <c r="A11" s="19" t="s">
        <v>21</v>
      </c>
      <c r="B11" s="9" t="s">
        <v>22</v>
      </c>
      <c r="C11" s="10">
        <v>0.7</v>
      </c>
      <c r="D11" s="11">
        <v>1156111.18</v>
      </c>
      <c r="E11" s="11">
        <f>O11*0.3</f>
        <v>84000</v>
      </c>
      <c r="F11" s="11">
        <v>840</v>
      </c>
      <c r="G11" s="11">
        <f t="shared" si="0"/>
        <v>462444.47200000001</v>
      </c>
      <c r="H11" s="12">
        <v>10</v>
      </c>
      <c r="I11" s="12"/>
      <c r="J11" s="9"/>
      <c r="K11" s="11">
        <v>26094</v>
      </c>
      <c r="L11" s="11"/>
      <c r="M11" s="11">
        <v>46175</v>
      </c>
      <c r="N11" s="19" t="s">
        <v>54</v>
      </c>
      <c r="O11" s="24">
        <v>280000</v>
      </c>
      <c r="P11" s="13">
        <f>'[1]Master Schedule'!C11</f>
        <v>46184</v>
      </c>
      <c r="Q11" s="13">
        <v>46305</v>
      </c>
      <c r="R11" s="9"/>
      <c r="S11" s="26" t="s">
        <v>66</v>
      </c>
    </row>
    <row r="12" spans="1:19" s="19" customFormat="1" ht="18.600000000000001" x14ac:dyDescent="0.55000000000000004">
      <c r="A12" s="19" t="s">
        <v>23</v>
      </c>
      <c r="B12" s="9" t="s">
        <v>15</v>
      </c>
      <c r="C12" s="10">
        <v>0</v>
      </c>
      <c r="D12" s="11">
        <v>594114</v>
      </c>
      <c r="E12" s="11">
        <f>O12*0</f>
        <v>0</v>
      </c>
      <c r="F12" s="11"/>
      <c r="G12" s="11">
        <f t="shared" si="0"/>
        <v>237645.6</v>
      </c>
      <c r="H12" s="12">
        <v>0</v>
      </c>
      <c r="I12" s="12"/>
      <c r="J12" s="9"/>
      <c r="K12" s="11">
        <v>20261</v>
      </c>
      <c r="L12" s="11"/>
      <c r="M12" s="11">
        <v>20018</v>
      </c>
      <c r="N12" s="19" t="s">
        <v>55</v>
      </c>
      <c r="O12" s="24">
        <v>233247.9</v>
      </c>
      <c r="P12" s="13">
        <f>'[1]Master Schedule'!C12</f>
        <v>46200</v>
      </c>
      <c r="Q12" s="13">
        <v>46336</v>
      </c>
      <c r="R12" s="9"/>
      <c r="S12" s="9" t="s">
        <v>51</v>
      </c>
    </row>
    <row r="13" spans="1:19" s="19" customFormat="1" ht="18.600000000000001" x14ac:dyDescent="0.55000000000000004">
      <c r="A13" s="19" t="s">
        <v>24</v>
      </c>
      <c r="B13" s="9" t="s">
        <v>15</v>
      </c>
      <c r="C13" s="10">
        <v>0</v>
      </c>
      <c r="D13" s="11">
        <v>327102.8</v>
      </c>
      <c r="E13" s="11">
        <f>O13*0.3</f>
        <v>36000</v>
      </c>
      <c r="F13" s="11"/>
      <c r="G13" s="11">
        <f t="shared" si="0"/>
        <v>130841.12</v>
      </c>
      <c r="H13" s="14">
        <v>3</v>
      </c>
      <c r="J13" s="9"/>
      <c r="K13" s="11">
        <v>14327</v>
      </c>
      <c r="M13" s="19">
        <v>4164</v>
      </c>
      <c r="N13" s="9" t="s">
        <v>49</v>
      </c>
      <c r="O13" s="25">
        <v>120000</v>
      </c>
      <c r="P13" s="13">
        <f>'[1]Master Schedule'!C13</f>
        <v>46392</v>
      </c>
      <c r="Q13" s="20">
        <v>46336</v>
      </c>
      <c r="S13" s="9" t="s">
        <v>51</v>
      </c>
    </row>
    <row r="14" spans="1:19" s="19" customFormat="1" ht="18.600000000000001" x14ac:dyDescent="0.55000000000000004">
      <c r="A14" s="19" t="s">
        <v>25</v>
      </c>
      <c r="B14" s="9" t="s">
        <v>22</v>
      </c>
      <c r="C14" s="10">
        <v>0.5</v>
      </c>
      <c r="D14" s="11">
        <v>1707089</v>
      </c>
      <c r="E14" s="11">
        <f>O14*0.3</f>
        <v>197003.709</v>
      </c>
      <c r="F14" s="11">
        <v>215</v>
      </c>
      <c r="G14" s="11">
        <f t="shared" si="0"/>
        <v>682835.60000000009</v>
      </c>
      <c r="H14" s="14">
        <v>10</v>
      </c>
      <c r="J14" s="9"/>
      <c r="K14" s="11">
        <v>54190</v>
      </c>
      <c r="M14" s="19">
        <v>20695.969999999972</v>
      </c>
      <c r="N14" s="19" t="s">
        <v>55</v>
      </c>
      <c r="O14" s="25">
        <v>656679.03</v>
      </c>
      <c r="P14" s="13">
        <f>'[1]Master Schedule'!C14</f>
        <v>46042</v>
      </c>
      <c r="Q14" s="20">
        <v>46218</v>
      </c>
      <c r="S14" s="26" t="s">
        <v>67</v>
      </c>
    </row>
    <row r="15" spans="1:19" s="19" customFormat="1" ht="18.600000000000001" x14ac:dyDescent="0.55000000000000004">
      <c r="A15" s="19" t="s">
        <v>26</v>
      </c>
      <c r="B15" s="9" t="s">
        <v>12</v>
      </c>
      <c r="C15" s="10">
        <v>1</v>
      </c>
      <c r="D15" s="11">
        <v>80000</v>
      </c>
      <c r="E15" s="11">
        <f>O15</f>
        <v>40000</v>
      </c>
      <c r="F15" s="11">
        <v>489</v>
      </c>
      <c r="G15" s="11">
        <f>D15*1</f>
        <v>80000</v>
      </c>
      <c r="H15" s="14">
        <v>4</v>
      </c>
      <c r="J15" s="9"/>
      <c r="K15" s="11">
        <v>0</v>
      </c>
      <c r="M15" s="19">
        <v>0</v>
      </c>
      <c r="N15" s="19" t="s">
        <v>54</v>
      </c>
      <c r="O15" s="25">
        <v>40000</v>
      </c>
      <c r="P15" s="13">
        <f>'[1]Master Schedule'!C15</f>
        <v>46168</v>
      </c>
      <c r="Q15" s="20">
        <v>46188</v>
      </c>
    </row>
    <row r="16" spans="1:19" s="19" customFormat="1" ht="18.600000000000001" x14ac:dyDescent="0.55000000000000004">
      <c r="A16" s="19" t="s">
        <v>27</v>
      </c>
      <c r="B16" s="9" t="s">
        <v>22</v>
      </c>
      <c r="C16" s="10">
        <v>0</v>
      </c>
      <c r="D16" s="11">
        <v>1199960.02</v>
      </c>
      <c r="E16" s="11">
        <f>O16*0</f>
        <v>0</v>
      </c>
      <c r="F16" s="11"/>
      <c r="G16" s="11">
        <f>D16*0.4</f>
        <v>479984.00800000003</v>
      </c>
      <c r="H16" s="14">
        <v>0</v>
      </c>
      <c r="K16" s="11">
        <v>27535</v>
      </c>
      <c r="M16" s="19">
        <v>34414</v>
      </c>
      <c r="N16" s="19" t="s">
        <v>56</v>
      </c>
      <c r="O16" s="25">
        <v>430000</v>
      </c>
      <c r="P16" s="13">
        <f>'[1]Master Schedule'!C16</f>
        <v>46198</v>
      </c>
      <c r="Q16" s="20">
        <v>46321</v>
      </c>
      <c r="S16" s="9" t="s">
        <v>51</v>
      </c>
    </row>
    <row r="17" spans="1:19" s="19" customFormat="1" ht="18.600000000000001" x14ac:dyDescent="0.55000000000000004">
      <c r="A17" s="19" t="s">
        <v>28</v>
      </c>
      <c r="B17" s="9" t="s">
        <v>12</v>
      </c>
      <c r="C17" s="10">
        <v>1</v>
      </c>
      <c r="D17" s="11">
        <v>600000</v>
      </c>
      <c r="E17" s="11">
        <f>O17</f>
        <v>234861</v>
      </c>
      <c r="F17" s="11">
        <v>735</v>
      </c>
      <c r="G17" s="11">
        <f>D17*1</f>
        <v>600000</v>
      </c>
      <c r="H17" s="15">
        <v>10</v>
      </c>
      <c r="J17" s="9"/>
      <c r="K17" s="11">
        <v>10000</v>
      </c>
      <c r="M17" s="19">
        <v>0</v>
      </c>
      <c r="N17" s="19" t="s">
        <v>54</v>
      </c>
      <c r="O17" s="25">
        <v>234861</v>
      </c>
      <c r="P17" s="13">
        <f>'[1]Master Schedule'!C17</f>
        <v>46188</v>
      </c>
      <c r="Q17" s="20">
        <v>46139</v>
      </c>
    </row>
    <row r="18" spans="1:19" s="19" customFormat="1" ht="18.600000000000001" x14ac:dyDescent="0.55000000000000004">
      <c r="A18" s="19" t="s">
        <v>29</v>
      </c>
      <c r="B18" s="9" t="s">
        <v>12</v>
      </c>
      <c r="C18" s="10">
        <v>1</v>
      </c>
      <c r="D18" s="11">
        <v>317648</v>
      </c>
      <c r="E18" s="11">
        <f t="shared" si="1"/>
        <v>119980</v>
      </c>
      <c r="F18" s="11"/>
      <c r="G18" s="11">
        <f>D18*1</f>
        <v>317648</v>
      </c>
      <c r="H18" s="15">
        <v>10</v>
      </c>
      <c r="J18" s="9"/>
      <c r="K18" s="11">
        <v>8760</v>
      </c>
      <c r="M18" s="19">
        <v>0</v>
      </c>
      <c r="N18" s="9" t="s">
        <v>53</v>
      </c>
      <c r="O18" s="25">
        <v>119980</v>
      </c>
      <c r="P18" s="13">
        <f>'[1]Master Schedule'!C18</f>
        <v>46200</v>
      </c>
      <c r="Q18" s="20">
        <v>46133</v>
      </c>
    </row>
    <row r="19" spans="1:19" s="19" customFormat="1" ht="18.600000000000001" x14ac:dyDescent="0.55000000000000004">
      <c r="A19" s="19" t="s">
        <v>30</v>
      </c>
      <c r="B19" s="9" t="s">
        <v>22</v>
      </c>
      <c r="C19" s="10">
        <v>0</v>
      </c>
      <c r="D19" s="11">
        <v>832813</v>
      </c>
      <c r="E19" s="11">
        <f t="shared" ref="E19" si="2">O19</f>
        <v>0</v>
      </c>
      <c r="F19" s="11">
        <v>630</v>
      </c>
      <c r="G19" s="11">
        <f>455555</f>
        <v>455555</v>
      </c>
      <c r="H19" s="15">
        <v>0</v>
      </c>
      <c r="J19" s="9"/>
      <c r="K19" s="11">
        <v>35070</v>
      </c>
      <c r="M19" s="19">
        <v>0</v>
      </c>
      <c r="N19" s="9" t="s">
        <v>53</v>
      </c>
      <c r="O19" s="25"/>
      <c r="P19" s="13">
        <f>'Master Schedule'!C33</f>
        <v>46091</v>
      </c>
      <c r="Q19" s="20">
        <v>46295</v>
      </c>
      <c r="S19" s="9" t="s">
        <v>51</v>
      </c>
    </row>
    <row r="20" spans="1:19" s="19" customFormat="1" ht="18.600000000000001" x14ac:dyDescent="0.55000000000000004">
      <c r="A20" s="19" t="s">
        <v>31</v>
      </c>
      <c r="B20" s="21" t="s">
        <v>22</v>
      </c>
      <c r="C20" s="10">
        <v>0.9</v>
      </c>
      <c r="D20" s="18"/>
      <c r="E20" s="22">
        <f>O20*0.3</f>
        <v>71744.399999999994</v>
      </c>
      <c r="F20" s="17">
        <v>255</v>
      </c>
      <c r="G20" s="23">
        <f>D20*0.9</f>
        <v>0</v>
      </c>
      <c r="H20" s="19">
        <v>3</v>
      </c>
      <c r="K20" s="19">
        <v>0</v>
      </c>
      <c r="M20" s="19">
        <v>0</v>
      </c>
      <c r="O20" s="25">
        <v>239148</v>
      </c>
      <c r="P20" s="13">
        <v>45717</v>
      </c>
      <c r="Q20" s="13">
        <v>45737</v>
      </c>
      <c r="S20" s="9" t="s">
        <v>57</v>
      </c>
    </row>
    <row r="21" spans="1:19" s="19" customFormat="1" ht="18.600000000000001" x14ac:dyDescent="0.55000000000000004">
      <c r="A21" s="19" t="s">
        <v>32</v>
      </c>
      <c r="B21" s="21" t="s">
        <v>22</v>
      </c>
      <c r="C21" s="10">
        <v>0.9</v>
      </c>
      <c r="D21" s="17"/>
      <c r="E21" s="22">
        <f>O21*0.65</f>
        <v>145747.55000000002</v>
      </c>
      <c r="G21" s="19">
        <f>D21*0.75</f>
        <v>0</v>
      </c>
      <c r="H21" s="19">
        <v>3</v>
      </c>
      <c r="K21" s="19">
        <v>0</v>
      </c>
      <c r="M21" s="19">
        <v>0</v>
      </c>
      <c r="O21" s="25">
        <v>224227</v>
      </c>
      <c r="P21" s="13">
        <v>45717</v>
      </c>
      <c r="Q21" s="13">
        <v>45737</v>
      </c>
      <c r="S21" s="9" t="s">
        <v>57</v>
      </c>
    </row>
    <row r="22" spans="1:19" s="16" customFormat="1" ht="15.6" x14ac:dyDescent="0.3"/>
    <row r="23" spans="1:19" s="16" customFormat="1" ht="15.6" x14ac:dyDescent="0.3"/>
    <row r="24" spans="1:19" s="16" customFormat="1" ht="15.6" x14ac:dyDescent="0.3"/>
    <row r="25" spans="1:19" s="16" customFormat="1" ht="15.6" x14ac:dyDescent="0.3"/>
    <row r="26" spans="1:19" s="16" customFormat="1" ht="15.6" x14ac:dyDescent="0.3"/>
    <row r="27" spans="1:19" s="16" customFormat="1" ht="15.6" x14ac:dyDescent="0.3"/>
    <row r="28" spans="1:19" s="16" customFormat="1" ht="15.6" x14ac:dyDescent="0.3"/>
    <row r="29" spans="1:19" s="16" customFormat="1" ht="15.6" x14ac:dyDescent="0.3"/>
    <row r="30" spans="1:19" s="16" customFormat="1" ht="15.6" x14ac:dyDescent="0.3"/>
    <row r="31" spans="1:19" s="16" customFormat="1" ht="15.6" x14ac:dyDescent="0.3"/>
    <row r="32" spans="1:19" s="16" customFormat="1" ht="15.6" x14ac:dyDescent="0.3"/>
    <row r="33" s="16" customFormat="1" ht="15.6" x14ac:dyDescent="0.3"/>
    <row r="34" s="16" customFormat="1" ht="15.6" x14ac:dyDescent="0.3"/>
    <row r="35" s="16" customFormat="1" ht="15.6" x14ac:dyDescent="0.3"/>
    <row r="36" s="16" customFormat="1" ht="15.6" x14ac:dyDescent="0.3"/>
    <row r="37" s="16" customFormat="1" ht="15.6" x14ac:dyDescent="0.3"/>
    <row r="38" s="16" customFormat="1" ht="15.6" x14ac:dyDescent="0.3"/>
    <row r="39" s="16" customFormat="1" ht="15.6" x14ac:dyDescent="0.3"/>
    <row r="40" s="16" customFormat="1" ht="15.6" x14ac:dyDescent="0.3"/>
    <row r="41" s="16" customFormat="1" ht="15.6" x14ac:dyDescent="0.3"/>
    <row r="42" s="16" customFormat="1" ht="15.6" x14ac:dyDescent="0.3"/>
    <row r="43" s="16" customFormat="1" ht="15.6" x14ac:dyDescent="0.3"/>
    <row r="44" s="16" customFormat="1" ht="15.6" x14ac:dyDescent="0.3"/>
    <row r="45" s="16" customFormat="1" ht="15.6" x14ac:dyDescent="0.3"/>
    <row r="46" s="16" customFormat="1" ht="15.6" x14ac:dyDescent="0.3"/>
    <row r="47" s="16" customFormat="1" ht="15.6" x14ac:dyDescent="0.3"/>
    <row r="48" s="16" customFormat="1" ht="15.6" x14ac:dyDescent="0.3"/>
    <row r="49" s="16" customFormat="1" ht="15.6" x14ac:dyDescent="0.3"/>
    <row r="50" s="16" customFormat="1" ht="15.6" x14ac:dyDescent="0.3"/>
    <row r="51" s="16" customFormat="1" ht="15.6" x14ac:dyDescent="0.3"/>
    <row r="52" s="16" customFormat="1" ht="15.6" x14ac:dyDescent="0.3"/>
    <row r="53" s="16" customFormat="1" ht="15.6" x14ac:dyDescent="0.3"/>
    <row r="54" s="16" customFormat="1" ht="15.6" x14ac:dyDescent="0.3"/>
    <row r="55" s="16" customFormat="1" ht="15.6" x14ac:dyDescent="0.3"/>
    <row r="56" s="16" customFormat="1" ht="15.6" x14ac:dyDescent="0.3"/>
    <row r="57" s="16" customFormat="1" ht="15.6" x14ac:dyDescent="0.3"/>
    <row r="58" s="16" customFormat="1" ht="15.6" x14ac:dyDescent="0.3"/>
    <row r="59" s="16" customFormat="1" ht="15.6" x14ac:dyDescent="0.3"/>
    <row r="60" s="16" customFormat="1" ht="15.6" x14ac:dyDescent="0.3"/>
    <row r="61" s="16" customFormat="1" ht="15.6" x14ac:dyDescent="0.3"/>
    <row r="62" s="16" customFormat="1" ht="15.6" x14ac:dyDescent="0.3"/>
    <row r="63" s="16" customFormat="1" ht="15.6" x14ac:dyDescent="0.3"/>
    <row r="64" s="16" customFormat="1" ht="15.6" x14ac:dyDescent="0.3"/>
    <row r="65" s="16" customFormat="1" ht="15.6" x14ac:dyDescent="0.3"/>
    <row r="66" s="16" customFormat="1" ht="15.6" x14ac:dyDescent="0.3"/>
    <row r="67" s="16" customFormat="1" ht="15.6" x14ac:dyDescent="0.3"/>
    <row r="68" s="16" customFormat="1" ht="15.6" x14ac:dyDescent="0.3"/>
    <row r="69" s="16" customFormat="1" ht="15.6" x14ac:dyDescent="0.3"/>
    <row r="70" s="16" customFormat="1" ht="15.6" x14ac:dyDescent="0.3"/>
    <row r="71" s="16" customFormat="1" ht="15.6" x14ac:dyDescent="0.3"/>
    <row r="72" s="16" customFormat="1" ht="15.6" x14ac:dyDescent="0.3"/>
    <row r="73" s="16" customFormat="1" ht="15.6" x14ac:dyDescent="0.3"/>
    <row r="74" s="16" customFormat="1" ht="15.6" x14ac:dyDescent="0.3"/>
    <row r="75" s="16" customFormat="1" ht="15.6" x14ac:dyDescent="0.3"/>
    <row r="76" s="16" customFormat="1" ht="15.6" x14ac:dyDescent="0.3"/>
    <row r="77" s="16" customFormat="1" ht="15.6" x14ac:dyDescent="0.3"/>
    <row r="78" s="16" customFormat="1" ht="15.6" x14ac:dyDescent="0.3"/>
    <row r="79" s="16" customFormat="1" ht="15.6" x14ac:dyDescent="0.3"/>
    <row r="80" s="16" customFormat="1" ht="15.6" x14ac:dyDescent="0.3"/>
    <row r="81" s="16" customFormat="1" ht="15.6" x14ac:dyDescent="0.3"/>
    <row r="82" s="16" customFormat="1" ht="15.6" x14ac:dyDescent="0.3"/>
    <row r="83" s="16" customFormat="1" ht="15.6" x14ac:dyDescent="0.3"/>
    <row r="84" s="16" customFormat="1" ht="15.6" x14ac:dyDescent="0.3"/>
    <row r="85" s="16" customFormat="1" ht="15.6" x14ac:dyDescent="0.3"/>
    <row r="86" s="16" customFormat="1" ht="15.6" x14ac:dyDescent="0.3"/>
    <row r="87" s="16" customFormat="1" ht="15.6" x14ac:dyDescent="0.3"/>
    <row r="88" s="16" customFormat="1" ht="15.6" x14ac:dyDescent="0.3"/>
    <row r="89" s="16" customFormat="1" ht="15.6" x14ac:dyDescent="0.3"/>
    <row r="90" s="16" customFormat="1" ht="15.6" x14ac:dyDescent="0.3"/>
    <row r="91" s="16" customFormat="1" ht="15.6" x14ac:dyDescent="0.3"/>
    <row r="92" s="16" customFormat="1" ht="15.6" x14ac:dyDescent="0.3"/>
    <row r="93" s="16" customFormat="1" ht="15.6" x14ac:dyDescent="0.3"/>
    <row r="94" s="16" customFormat="1" ht="15.6" x14ac:dyDescent="0.3"/>
    <row r="95" s="16" customFormat="1" ht="15.6" x14ac:dyDescent="0.3"/>
    <row r="96" s="16" customFormat="1" ht="15.6" x14ac:dyDescent="0.3"/>
    <row r="97" s="16" customFormat="1" ht="15.6" x14ac:dyDescent="0.3"/>
    <row r="98" s="16" customFormat="1" ht="15.6" x14ac:dyDescent="0.3"/>
    <row r="99" s="16" customFormat="1" ht="15.6" x14ac:dyDescent="0.3"/>
    <row r="100" s="16" customFormat="1" ht="15.6" x14ac:dyDescent="0.3"/>
    <row r="101" s="16" customFormat="1" ht="15.6" x14ac:dyDescent="0.3"/>
    <row r="102" s="16" customFormat="1" ht="15.6" x14ac:dyDescent="0.3"/>
    <row r="103" s="16" customFormat="1" ht="15.6" x14ac:dyDescent="0.3"/>
    <row r="104" s="16" customFormat="1" ht="15.6" x14ac:dyDescent="0.3"/>
    <row r="105" s="16" customFormat="1" ht="15.6" x14ac:dyDescent="0.3"/>
    <row r="106" s="16" customFormat="1" ht="15.6" x14ac:dyDescent="0.3"/>
    <row r="107" s="16" customFormat="1" ht="15.6" x14ac:dyDescent="0.3"/>
    <row r="108" s="16" customFormat="1" ht="15.6" x14ac:dyDescent="0.3"/>
    <row r="109" s="16" customFormat="1" ht="15.6" x14ac:dyDescent="0.3"/>
    <row r="110" s="16" customFormat="1" ht="15.6" x14ac:dyDescent="0.3"/>
    <row r="111" s="16" customFormat="1" ht="15.6" x14ac:dyDescent="0.3"/>
    <row r="112" s="16" customFormat="1" ht="15.6" x14ac:dyDescent="0.3"/>
    <row r="113" s="16" customFormat="1" ht="15.6" x14ac:dyDescent="0.3"/>
    <row r="114" s="16" customFormat="1" ht="15.6" x14ac:dyDescent="0.3"/>
    <row r="115" s="16" customFormat="1" ht="15.6" x14ac:dyDescent="0.3"/>
    <row r="116" s="16" customFormat="1" ht="15.6" x14ac:dyDescent="0.3"/>
    <row r="117" s="16" customFormat="1" ht="15.6" x14ac:dyDescent="0.3"/>
    <row r="118" s="16" customFormat="1" ht="15.6" x14ac:dyDescent="0.3"/>
    <row r="119" s="16" customFormat="1" ht="15.6" x14ac:dyDescent="0.3"/>
    <row r="120" s="16" customFormat="1" ht="15.6" x14ac:dyDescent="0.3"/>
    <row r="121" s="16" customFormat="1" ht="15.6" x14ac:dyDescent="0.3"/>
    <row r="122" s="16" customFormat="1" ht="15.6" x14ac:dyDescent="0.3"/>
    <row r="123" s="16" customFormat="1" ht="15.6" x14ac:dyDescent="0.3"/>
    <row r="124" s="16" customFormat="1" ht="15.6" x14ac:dyDescent="0.3"/>
    <row r="125" s="16" customFormat="1" ht="15.6" x14ac:dyDescent="0.3"/>
    <row r="126" s="16" customFormat="1" ht="15.6" x14ac:dyDescent="0.3"/>
    <row r="127" s="16" customFormat="1" ht="15.6" x14ac:dyDescent="0.3"/>
    <row r="128" s="16" customFormat="1" ht="15.6" x14ac:dyDescent="0.3"/>
    <row r="129" s="16" customFormat="1" ht="15.6" x14ac:dyDescent="0.3"/>
    <row r="130" s="16" customFormat="1" ht="15.6" x14ac:dyDescent="0.3"/>
    <row r="131" s="16" customFormat="1" ht="15.6" x14ac:dyDescent="0.3"/>
    <row r="132" s="16" customFormat="1" ht="15.6" x14ac:dyDescent="0.3"/>
    <row r="133" s="16" customFormat="1" ht="15.6" x14ac:dyDescent="0.3"/>
    <row r="134" s="16" customFormat="1" ht="15.6" x14ac:dyDescent="0.3"/>
    <row r="135" s="16" customFormat="1" ht="15.6" x14ac:dyDescent="0.3"/>
    <row r="136" s="16" customFormat="1" ht="15.6" x14ac:dyDescent="0.3"/>
    <row r="137" s="16" customFormat="1" ht="15.6" x14ac:dyDescent="0.3"/>
    <row r="138" s="16" customFormat="1" ht="15.6" x14ac:dyDescent="0.3"/>
    <row r="139" s="16" customFormat="1" ht="15.6" x14ac:dyDescent="0.3"/>
    <row r="140" s="16" customFormat="1" ht="15.6" x14ac:dyDescent="0.3"/>
    <row r="141" s="16" customFormat="1" ht="15.6" x14ac:dyDescent="0.3"/>
    <row r="142" s="16" customFormat="1" ht="15.6" x14ac:dyDescent="0.3"/>
    <row r="143" s="16" customFormat="1" ht="15.6" x14ac:dyDescent="0.3"/>
    <row r="144" s="16" customFormat="1" ht="15.6" x14ac:dyDescent="0.3"/>
    <row r="145" s="16" customFormat="1" ht="15.6" x14ac:dyDescent="0.3"/>
    <row r="146" s="16" customFormat="1" ht="15.6" x14ac:dyDescent="0.3"/>
    <row r="147" s="16" customFormat="1" ht="15.6" x14ac:dyDescent="0.3"/>
    <row r="148" s="16" customFormat="1" ht="15.6" x14ac:dyDescent="0.3"/>
    <row r="149" s="16" customFormat="1" ht="15.6" x14ac:dyDescent="0.3"/>
    <row r="150" s="16" customFormat="1" ht="15.6" x14ac:dyDescent="0.3"/>
    <row r="151" s="16" customFormat="1" ht="15.6" x14ac:dyDescent="0.3"/>
    <row r="152" s="16" customFormat="1" ht="15.6" x14ac:dyDescent="0.3"/>
    <row r="153" s="16" customFormat="1" ht="15.6" x14ac:dyDescent="0.3"/>
    <row r="154" s="16" customFormat="1" ht="15.6" x14ac:dyDescent="0.3"/>
    <row r="155" s="16" customFormat="1" ht="15.6" x14ac:dyDescent="0.3"/>
    <row r="156" s="16" customFormat="1" ht="15.6" x14ac:dyDescent="0.3"/>
    <row r="157" s="16" customFormat="1" ht="15.6" x14ac:dyDescent="0.3"/>
    <row r="158" s="16" customFormat="1" ht="15.6" x14ac:dyDescent="0.3"/>
    <row r="159" s="16" customFormat="1" ht="15.6" x14ac:dyDescent="0.3"/>
    <row r="160" s="16" customFormat="1" ht="15.6" x14ac:dyDescent="0.3"/>
    <row r="161" s="16" customFormat="1" ht="15.6" x14ac:dyDescent="0.3"/>
    <row r="162" s="16" customFormat="1" ht="15.6" x14ac:dyDescent="0.3"/>
    <row r="163" s="16" customFormat="1" ht="15.6" x14ac:dyDescent="0.3"/>
    <row r="164" s="16" customFormat="1" ht="15.6" x14ac:dyDescent="0.3"/>
    <row r="165" s="16" customFormat="1" ht="15.6" x14ac:dyDescent="0.3"/>
    <row r="166" s="16" customFormat="1" ht="15.6" x14ac:dyDescent="0.3"/>
    <row r="167" s="16" customFormat="1" ht="15.6" x14ac:dyDescent="0.3"/>
    <row r="168" s="16" customFormat="1" ht="15.6" x14ac:dyDescent="0.3"/>
    <row r="169" s="16" customFormat="1" ht="15.6" x14ac:dyDescent="0.3"/>
    <row r="170" s="16" customFormat="1" ht="15.6" x14ac:dyDescent="0.3"/>
    <row r="171" s="16" customFormat="1" ht="15.6" x14ac:dyDescent="0.3"/>
    <row r="172" s="16" customFormat="1" ht="15.6" x14ac:dyDescent="0.3"/>
    <row r="173" s="16" customFormat="1" ht="15.6" x14ac:dyDescent="0.3"/>
    <row r="174" s="16" customFormat="1" ht="15.6" x14ac:dyDescent="0.3"/>
    <row r="175" s="16" customFormat="1" ht="15.6" x14ac:dyDescent="0.3"/>
    <row r="176" s="16" customFormat="1" ht="15.6" x14ac:dyDescent="0.3"/>
    <row r="177" s="16" customFormat="1" ht="15.6" x14ac:dyDescent="0.3"/>
    <row r="178" s="16" customFormat="1" ht="15.6" x14ac:dyDescent="0.3"/>
    <row r="179" s="16" customFormat="1" ht="15.6" x14ac:dyDescent="0.3"/>
    <row r="180" s="16" customFormat="1" ht="15.6" x14ac:dyDescent="0.3"/>
    <row r="181" s="16" customFormat="1" ht="15.6" x14ac:dyDescent="0.3"/>
    <row r="182" s="16" customFormat="1" ht="15.6" x14ac:dyDescent="0.3"/>
    <row r="183" s="16" customFormat="1" ht="15.6" x14ac:dyDescent="0.3"/>
    <row r="184" s="16" customFormat="1" ht="15.6" x14ac:dyDescent="0.3"/>
    <row r="185" s="16" customFormat="1" ht="15.6" x14ac:dyDescent="0.3"/>
    <row r="186" s="16" customFormat="1" ht="15.6" x14ac:dyDescent="0.3"/>
    <row r="187" s="16" customFormat="1" ht="15.6" x14ac:dyDescent="0.3"/>
    <row r="188" s="16" customFormat="1" ht="15.6" x14ac:dyDescent="0.3"/>
  </sheetData>
  <mergeCells count="2">
    <mergeCell ref="A2:S2"/>
    <mergeCell ref="A1:S1"/>
  </mergeCells>
  <dataValidations disablePrompts="1"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K15" sqref="K15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9" t="s">
        <v>58</v>
      </c>
      <c r="B1" s="28"/>
      <c r="C1" s="28"/>
    </row>
    <row r="2" spans="1:3" x14ac:dyDescent="0.3">
      <c r="A2" s="27" t="s">
        <v>59</v>
      </c>
      <c r="B2" s="28"/>
      <c r="C2" s="28"/>
    </row>
    <row r="4" spans="1:3" x14ac:dyDescent="0.3">
      <c r="A4" s="1" t="s">
        <v>60</v>
      </c>
      <c r="B4" s="1" t="s">
        <v>61</v>
      </c>
      <c r="C4" s="1" t="s">
        <v>62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63</v>
      </c>
      <c r="C7" s="8">
        <v>4</v>
      </c>
    </row>
    <row r="8" spans="1:3" x14ac:dyDescent="0.3">
      <c r="A8" s="6">
        <v>46189</v>
      </c>
      <c r="B8" s="5" t="s">
        <v>63</v>
      </c>
      <c r="C8" s="8">
        <v>4</v>
      </c>
    </row>
    <row r="9" spans="1:3" x14ac:dyDescent="0.3">
      <c r="A9" s="6">
        <v>46183</v>
      </c>
      <c r="B9" s="5" t="s">
        <v>64</v>
      </c>
      <c r="C9" s="8">
        <v>3</v>
      </c>
    </row>
    <row r="10" spans="1:3" x14ac:dyDescent="0.3">
      <c r="A10" s="6">
        <v>46185</v>
      </c>
      <c r="B10" s="5" t="s">
        <v>65</v>
      </c>
      <c r="C10" s="8">
        <v>2.5</v>
      </c>
    </row>
    <row r="11" spans="1:3" x14ac:dyDescent="0.3">
      <c r="A11" s="6">
        <v>46190</v>
      </c>
      <c r="B11" s="5" t="s">
        <v>63</v>
      </c>
      <c r="C11" s="8">
        <v>3</v>
      </c>
    </row>
    <row r="12" spans="1:3" x14ac:dyDescent="0.3">
      <c r="A12" s="6">
        <v>46190</v>
      </c>
      <c r="B12" s="5" t="s">
        <v>65</v>
      </c>
      <c r="C12" s="8">
        <v>3</v>
      </c>
    </row>
    <row r="13" spans="1:3" x14ac:dyDescent="0.3">
      <c r="A13" s="6">
        <v>46192</v>
      </c>
      <c r="B13" s="5" t="s">
        <v>63</v>
      </c>
      <c r="C13" s="8">
        <v>3</v>
      </c>
    </row>
    <row r="14" spans="1:3" x14ac:dyDescent="0.3">
      <c r="A14" s="6">
        <v>46197</v>
      </c>
      <c r="B14" s="5" t="s">
        <v>65</v>
      </c>
      <c r="C14" s="8">
        <v>3</v>
      </c>
    </row>
    <row r="15" spans="1:3" x14ac:dyDescent="0.3">
      <c r="A15" s="3">
        <v>46198</v>
      </c>
      <c r="B15" s="5" t="s">
        <v>63</v>
      </c>
      <c r="C15" s="4">
        <v>6</v>
      </c>
    </row>
    <row r="16" spans="1:3" x14ac:dyDescent="0.3">
      <c r="A16" s="3">
        <v>46202</v>
      </c>
      <c r="B16" s="5" t="s">
        <v>63</v>
      </c>
      <c r="C16" s="4">
        <v>6</v>
      </c>
    </row>
    <row r="17" spans="1:3" x14ac:dyDescent="0.3">
      <c r="A17" s="3">
        <v>46205</v>
      </c>
      <c r="B17" s="5" t="s">
        <v>63</v>
      </c>
      <c r="C17" s="4">
        <v>4</v>
      </c>
    </row>
    <row r="18" spans="1:3" x14ac:dyDescent="0.3">
      <c r="A18" s="3">
        <v>46206</v>
      </c>
      <c r="B18" s="5" t="s">
        <v>63</v>
      </c>
      <c r="C18" s="4">
        <v>4</v>
      </c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2026-07-03T07:43:08Z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