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56" documentId="13_ncr:1_{D6F423AA-70F0-48D1-99A3-0E79A49440FD}" xr6:coauthVersionLast="47" xr6:coauthVersionMax="47" xr10:uidLastSave="{937C9C92-53BB-40B4-B11F-C97B1CC6D74C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<sst xmlns="http://schemas.openxmlformats.org/spreadsheetml/2006/main" count="336" uniqueCount="141">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</sst>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10" fillId="0" borderId="0" xfId="0" applyNumberFormat="1" applyFont="1" applyAlignment="1">
      <alignment horizont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="85" zoomScaleNormal="85" workbookViewId="0">
      <pane ySplit="4" topLeftCell="A7" activePane="bottomLeft" state="frozen"/>
      <selection pane="bottomLeft" activeCell="I46" sqref="I46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71" t="s">
        <v>0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1">
      <c r="A2" s="73" t="s">
        <v>1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4" t="s">
        <v>10</v>
      </c>
      <c r="B5" s="59" t="s">
        <v>11</v>
      </c>
      <c r="C5" s="60">
        <v>46084</v>
      </c>
      <c r="D5" s="60">
        <v>46127</v>
      </c>
      <c r="E5" s="60"/>
      <c r="F5" s="60"/>
      <c r="G5" s="61">
        <v>1</v>
      </c>
      <c r="H5" s="59" t="s">
        <v>12</v>
      </c>
      <c r="I5" s="66">
        <v>46244</v>
      </c>
      <c r="J5" s="66"/>
      <c r="K5" s="48"/>
    </row>
    <row r="6" spans="1:11" ht="15" thickBot="1">
      <c r="A6" s="69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69"/>
      <c r="J6" s="65"/>
      <c r="K6" s="49"/>
    </row>
    <row r="7" spans="1:11">
      <c r="A7" s="68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64" t="s">
        <v>16</v>
      </c>
      <c r="J7" s="64"/>
      <c r="K7" s="50"/>
    </row>
    <row r="8" spans="1:11" ht="15" thickBot="1">
      <c r="A8" s="69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69"/>
      <c r="J8" s="65"/>
      <c r="K8" s="49"/>
    </row>
    <row r="9" spans="1:11">
      <c r="A9" s="68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64">
        <v>46218</v>
      </c>
      <c r="J9" s="64"/>
      <c r="K9" s="50"/>
    </row>
    <row r="10" spans="1:11" ht="15" thickBot="1">
      <c r="A10" s="69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69"/>
      <c r="J10" s="65"/>
      <c r="K10" s="49"/>
    </row>
    <row r="11" spans="1:11">
      <c r="A11" s="68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64">
        <v>46171</v>
      </c>
      <c r="J11" s="64"/>
      <c r="K11" s="50"/>
    </row>
    <row r="12" spans="1:11" ht="15" thickBot="1">
      <c r="A12" s="69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69"/>
      <c r="J12" s="65"/>
      <c r="K12" s="49"/>
    </row>
    <row r="13" spans="1:11">
      <c r="A13" s="68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64" t="s">
        <v>16</v>
      </c>
      <c r="J13" s="64"/>
      <c r="K13" s="50"/>
    </row>
    <row r="14" spans="1:11" ht="15" thickBot="1">
      <c r="A14" s="69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69"/>
      <c r="J14" s="65"/>
      <c r="K14" s="49"/>
    </row>
    <row r="15" spans="1:11">
      <c r="A15" s="68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64">
        <v>46199</v>
      </c>
      <c r="J15" s="64"/>
      <c r="K15" s="50"/>
    </row>
    <row r="16" spans="1:11" ht="15" thickBot="1">
      <c r="A16" s="69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69"/>
      <c r="J16" s="65"/>
      <c r="K16" s="49"/>
    </row>
    <row r="17" spans="1:11">
      <c r="A17" s="70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67">
        <v>46305</v>
      </c>
      <c r="J17" s="67"/>
      <c r="K17" s="51"/>
    </row>
    <row r="18" spans="1:11" ht="15" thickBot="1">
      <c r="A18" s="69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69"/>
      <c r="J18" s="65"/>
      <c r="K18" s="49"/>
    </row>
    <row r="19" spans="1:11">
      <c r="A19" s="70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67">
        <v>46336</v>
      </c>
      <c r="J19" s="67"/>
      <c r="K19" s="51"/>
    </row>
    <row r="20" spans="1:11" ht="15" thickBot="1">
      <c r="A20" s="69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69"/>
      <c r="J20" s="65"/>
      <c r="K20" s="49"/>
    </row>
    <row r="21" spans="1:11">
      <c r="A21" s="68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64">
        <v>46336</v>
      </c>
      <c r="J21" s="64"/>
      <c r="K21" s="52"/>
    </row>
    <row r="22" spans="1:11" ht="15" thickBot="1">
      <c r="A22" s="69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69"/>
      <c r="J22" s="65"/>
      <c r="K22" s="53"/>
    </row>
    <row r="23" spans="1:11">
      <c r="A23" s="68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64">
        <v>46237</v>
      </c>
      <c r="J23" s="64"/>
      <c r="K23" s="52"/>
    </row>
    <row r="24" spans="1:11" ht="15" thickBot="1">
      <c r="A24" s="69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69"/>
      <c r="J24" s="65"/>
      <c r="K24" s="53"/>
    </row>
    <row r="25" spans="1:11">
      <c r="A25" s="68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64">
        <v>46188</v>
      </c>
      <c r="J25" s="64"/>
      <c r="K25" s="52"/>
    </row>
    <row r="26" spans="1:11" ht="15" thickBot="1">
      <c r="A26" s="69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69"/>
      <c r="J26" s="65"/>
      <c r="K26" s="53"/>
    </row>
    <row r="27" spans="1:11">
      <c r="A27" s="68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64">
        <v>46321</v>
      </c>
      <c r="J27" s="64"/>
      <c r="K27" s="52"/>
    </row>
    <row r="28" spans="1:11" ht="15" thickBot="1">
      <c r="A28" s="69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69"/>
      <c r="J28" s="65"/>
      <c r="K28" s="53"/>
    </row>
    <row r="29" spans="1:11">
      <c r="A29" s="68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64">
        <v>46139</v>
      </c>
      <c r="J29" s="64"/>
      <c r="K29" s="52"/>
    </row>
    <row r="30" spans="1:11" ht="15" thickBot="1">
      <c r="A30" s="69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69"/>
      <c r="J30" s="65"/>
      <c r="K30" s="53"/>
    </row>
    <row r="31" spans="1:11">
      <c r="A31" s="68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64">
        <v>46133</v>
      </c>
      <c r="J31" s="64"/>
      <c r="K31" s="52"/>
    </row>
    <row r="32" spans="1:11" ht="15" thickBot="1">
      <c r="A32" s="69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69"/>
      <c r="J32" s="65"/>
      <c r="K32" s="53"/>
    </row>
    <row r="33" spans="1:11">
      <c r="A33" s="68" t="s">
        <v>30</v>
      </c>
      <c r="B33" s="39" t="s">
        <v>11</v>
      </c>
      <c r="C33" s="62">
        <v>46237</v>
      </c>
      <c r="D33" s="62">
        <v>46248</v>
      </c>
      <c r="E33" s="40"/>
      <c r="F33" s="40"/>
      <c r="G33" s="41">
        <v>0</v>
      </c>
      <c r="H33" s="39" t="s">
        <v>22</v>
      </c>
      <c r="I33" s="64">
        <v>46295</v>
      </c>
      <c r="J33" s="64"/>
      <c r="K33" s="52"/>
    </row>
    <row r="34" spans="1:11" ht="15" thickBot="1">
      <c r="A34" s="69"/>
      <c r="B34" s="36" t="s">
        <v>13</v>
      </c>
      <c r="C34" s="63">
        <v>46296</v>
      </c>
      <c r="D34" s="63">
        <v>46303</v>
      </c>
      <c r="E34" s="37"/>
      <c r="F34" s="37"/>
      <c r="G34" s="38">
        <v>0</v>
      </c>
      <c r="H34" s="36" t="s">
        <v>22</v>
      </c>
      <c r="I34" s="69"/>
      <c r="J34" s="65"/>
      <c r="K34" s="53"/>
    </row>
    <row r="35" spans="1:11">
      <c r="A35" s="68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64">
        <v>45884</v>
      </c>
      <c r="J35" s="64"/>
      <c r="K35" s="52"/>
    </row>
    <row r="36" spans="1:11" ht="15" thickBot="1">
      <c r="A36" s="69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69"/>
      <c r="J36" s="65"/>
      <c r="K36" s="53"/>
    </row>
    <row r="37" spans="1:11">
      <c r="A37" s="68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64">
        <v>45915</v>
      </c>
      <c r="J37" s="64"/>
      <c r="K37" s="52"/>
    </row>
    <row r="38" spans="1:11" ht="15" thickBot="1">
      <c r="A38" s="69"/>
      <c r="B38" s="36" t="s">
        <v>13</v>
      </c>
      <c r="C38" s="37">
        <v>45729</v>
      </c>
      <c r="D38" s="37">
        <v>45862</v>
      </c>
      <c r="E38" s="37"/>
      <c r="F38" s="37"/>
      <c r="G38" s="38">
        <v>0.9</v>
      </c>
      <c r="H38" s="36" t="s">
        <v>22</v>
      </c>
      <c r="I38" s="69"/>
      <c r="J38" s="65"/>
      <c r="K38" s="53"/>
    </row>
    <row r="39" spans="1:11">
      <c r="A39" s="68" t="s">
        <v>131</v>
      </c>
      <c r="B39" s="39" t="s">
        <v>11</v>
      </c>
      <c r="C39" s="40"/>
      <c r="D39" s="40"/>
      <c r="E39" s="40"/>
      <c r="F39" s="40"/>
      <c r="G39" s="41">
        <v>0</v>
      </c>
      <c r="H39" s="39" t="s">
        <v>15</v>
      </c>
      <c r="I39" s="64"/>
      <c r="J39" s="64"/>
      <c r="K39" s="52"/>
    </row>
    <row r="40" spans="1:11" ht="15" thickBot="1">
      <c r="A40" s="69"/>
      <c r="B40" s="56" t="s">
        <v>13</v>
      </c>
      <c r="C40" s="57"/>
      <c r="D40" s="57"/>
      <c r="E40" s="57"/>
      <c r="F40" s="57"/>
      <c r="G40" s="58">
        <v>0</v>
      </c>
      <c r="H40" s="56" t="s">
        <v>15</v>
      </c>
      <c r="I40" s="69"/>
      <c r="J40" s="65"/>
      <c r="K40" s="53"/>
    </row>
    <row r="41" spans="1:11">
      <c r="A41" s="68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64">
        <v>46230</v>
      </c>
      <c r="J41" s="64"/>
      <c r="K41" s="52"/>
    </row>
    <row r="42" spans="1:11" ht="15" thickBot="1">
      <c r="A42" s="69"/>
      <c r="B42" s="56" t="s">
        <v>13</v>
      </c>
      <c r="C42" s="57"/>
      <c r="D42" s="57"/>
      <c r="E42" s="57"/>
      <c r="F42" s="57"/>
      <c r="G42" s="58"/>
      <c r="H42" s="56"/>
      <c r="I42" s="69"/>
      <c r="J42" s="65"/>
      <c r="K42" s="53"/>
    </row>
    <row r="43" spans="1:11">
      <c r="A43" s="68" t="s">
        <v>138</v>
      </c>
      <c r="B43" s="39" t="s">
        <v>11</v>
      </c>
      <c r="C43" s="40"/>
      <c r="D43" s="40"/>
      <c r="E43" s="40"/>
      <c r="F43" s="40"/>
      <c r="G43" s="41">
        <v>0</v>
      </c>
      <c r="H43" s="39" t="s">
        <v>22</v>
      </c>
      <c r="I43" s="64"/>
      <c r="J43" s="64"/>
      <c r="K43" s="52"/>
    </row>
    <row r="44" spans="1:11" ht="15" thickBot="1">
      <c r="A44" s="69"/>
      <c r="B44" s="56" t="s">
        <v>13</v>
      </c>
      <c r="C44" s="57"/>
      <c r="D44" s="57"/>
      <c r="E44" s="57"/>
      <c r="F44" s="57"/>
      <c r="G44" s="58">
        <v>0</v>
      </c>
      <c r="H44" s="56" t="s">
        <v>22</v>
      </c>
      <c r="I44" s="69"/>
      <c r="J44" s="65"/>
      <c r="K44" s="53"/>
    </row>
  </sheetData>
  <mergeCells count="62"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9" zoomScale="85" zoomScaleNormal="85" workbookViewId="0">
      <pane xSplit="1" topLeftCell="B1" activePane="topRight" state="frozen"/>
      <selection pane="topRight" activeCell="D29" sqref="D29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71" t="s">
        <v>33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</row>
    <row r="2" spans="1:22">
      <c r="A2" s="73" t="s">
        <v>34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f>'[1]Master Schedule'!C7</f>
        <v>46219</v>
      </c>
      <c r="R7" s="19">
        <v>46102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f>'[1]Master Schedule'!C8</f>
        <v>46244</v>
      </c>
      <c r="R8" s="19">
        <v>46171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f>'[1]Master Schedule'!C17</f>
        <v>46188</v>
      </c>
      <c r="R17" s="11">
        <v>46139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f>'[1]Master Schedule'!C18</f>
        <v>46200</v>
      </c>
      <c r="R18" s="11">
        <v>46133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0.35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13" customFormat="1" ht="18.600000000000001">
      <c r="A25" s="13" t="s">
        <v>138</v>
      </c>
      <c r="B25" s="13" t="s">
        <v>140</v>
      </c>
      <c r="C25" s="13" t="s">
        <v>67</v>
      </c>
      <c r="D25" s="78">
        <v>0</v>
      </c>
      <c r="E25" s="13">
        <v>799875</v>
      </c>
      <c r="F25" s="13">
        <v>0</v>
      </c>
      <c r="G25" s="13">
        <v>0</v>
      </c>
      <c r="H25" s="13">
        <f>E25*0.4</f>
        <v>319950</v>
      </c>
      <c r="L25" s="13">
        <v>0</v>
      </c>
      <c r="N25" s="13">
        <v>0</v>
      </c>
      <c r="P25" s="13">
        <v>384843</v>
      </c>
      <c r="T25" s="13" t="s">
        <v>139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H17" sqref="H17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71" t="s">
        <v>57</v>
      </c>
      <c r="B1" s="71"/>
      <c r="C1" s="72"/>
      <c r="D1" s="72"/>
    </row>
    <row r="2" spans="1:5">
      <c r="A2" s="73" t="s">
        <v>58</v>
      </c>
      <c r="B2" s="73"/>
      <c r="C2" s="72"/>
      <c r="D2" s="72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77">
        <v>46219</v>
      </c>
      <c r="B26" s="76" t="s">
        <v>107</v>
      </c>
      <c r="C26" s="76" t="s">
        <v>61</v>
      </c>
      <c r="D26" s="75">
        <v>3</v>
      </c>
      <c r="E26" t="s">
        <v>135</v>
      </c>
    </row>
    <row r="27" spans="1:5">
      <c r="A27" s="3">
        <v>46224</v>
      </c>
      <c r="B27" s="76" t="s">
        <v>109</v>
      </c>
      <c r="C27" s="76" t="s">
        <v>61</v>
      </c>
      <c r="D27" s="4">
        <v>2</v>
      </c>
      <c r="E27" t="s">
        <v>136</v>
      </c>
    </row>
    <row r="28" spans="1:5">
      <c r="A28" s="3">
        <v>46226</v>
      </c>
      <c r="B28" s="3" t="s">
        <v>100</v>
      </c>
      <c r="C28" s="77" t="s">
        <v>61</v>
      </c>
      <c r="D28" s="4">
        <v>4</v>
      </c>
      <c r="E28" t="s">
        <v>137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71" t="s">
        <v>75</v>
      </c>
      <c r="B1" s="71"/>
      <c r="C1" s="71"/>
      <c r="D1" s="71"/>
      <c r="E1" s="71"/>
    </row>
    <row r="2" spans="1:5">
      <c r="A2" s="73" t="s">
        <v>76</v>
      </c>
      <c r="B2" s="73"/>
      <c r="C2" s="73"/>
      <c r="D2" s="73"/>
      <c r="E2" s="73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132</v>
      </c>
      <c r="B8" s="2" t="s">
        <v>133</v>
      </c>
      <c r="C8" s="6">
        <v>46226</v>
      </c>
      <c r="D8" s="6">
        <v>46249</v>
      </c>
      <c r="E8" t="s">
        <v>79</v>
      </c>
    </row>
    <row r="9" spans="1:5">
      <c r="A9" s="3" t="s">
        <v>134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2026-07-23T10:02:00Z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