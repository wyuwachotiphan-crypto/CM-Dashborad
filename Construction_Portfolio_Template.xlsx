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206" documentId="13_ncr:1_{41D1AEA8-9C20-47A1-A739-0B1E1E53F159}" xr6:coauthVersionLast="47" xr6:coauthVersionMax="47" xr10:uidLastSave="{4B9C9BED-86B7-48AA-A8DF-73E02C0254B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E20" i="2"/>
  <c r="G20" i="2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<sst xmlns="http://schemas.openxmlformats.org/spreadsheetml/2006/main" count="194" uniqueCount="67">
  <si>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</si>
  <si>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</si>
  <si>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</si>
  <si>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</si>
  <si>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</si>
  <si>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</si>
  <si>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</si>
  <si>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</si>
  <si>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</si>
  <si>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</si>
  <si>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</si>
  <si>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</si>
  <si>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</si>
  <si>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</si>
  <si>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</si>
  <si>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</si>
  <si>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</si>
  <si>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</si>
  <si>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</si>
  <si>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</si>
  <si>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</si>
  <si>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</si>
  <si>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</si>
  <si>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</si>
  <si>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</si>
  <si>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</si>
  <si>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</si>
  <si>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</si>
  <si>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</si>
  <si>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</si>
  <si>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</si>
  <si>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</si>
  <si>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</si>
  <si>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</si>
  <si>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</si>
  <si>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บริษัท เคบีเอส ซีสเต็ม จํากัด</t>
  </si>
  <si>
    <t>หมู่บ้านมัณฑนา</t>
  </si>
  <si>
    <t>บริษัทเอ.เอ็น.เอ็นจิเนียริ่งจํากัด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</si>
  <si>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</si>
  <si>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</si>
  <si>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</si>
  <si>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</si>
  <si>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</si>
  <si>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นายคธาชัย จันทร์ศรี</t>
  </si>
  <si>
    <t>S’rin House</t>
  </si>
  <si>
    <t>บ้านคุณปุกกี้</t>
  </si>
  <si>
    <t xml:space="preserve">บ้านบางบอน5ซอย7 </t>
  </si>
  <si>
    <t>บริษัท สามที เอ็นจิเนียริ่ง  จำกัด</t>
  </si>
  <si>
    <t>PhanasonSamutprakhan Residence</t>
  </si>
  <si>
    <t>P'Gummy @Sildrom Residence FL.21</t>
  </si>
  <si>
    <t>HUAY KWANG RESIDENCE</t>
  </si>
  <si>
    <t>Granpix</t>
  </si>
  <si>
    <t>บริษัท อาร์ทอพ แอร์ ซัพพลาย จำกัด</t>
  </si>
  <si>
    <t>บ้านคุณอู BUGAAN พัฒนาการ</t>
  </si>
  <si>
    <t>Frist Fix</t>
  </si>
  <si>
    <t>Second Fix</t>
  </si>
  <si>
    <t>ฤทธิพร บุตรนิตย์</t>
  </si>
  <si>
    <t>ธนทร วัฒนชโนบล</t>
  </si>
  <si>
    <t>วริษฐ์ ยุวโชติพันธุ์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</si>
  <si>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</si>
  <si>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</si>
  <si>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</si>
  <si>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บ้านคุณเต้ย</t>
  </si>
  <si>
    <t>Khun Sarut's House</t>
  </si>
  <si>
    <t>25-17_Ekamai 28 (K'Phong)</t>
  </si>
  <si>
    <t>โครงการล่าช้า</t>
  </si>
  <si>
    <t>บริษัทอีโค่คูลไคลเมท เทคโนโลยีจำกัด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</si>
</sst>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0" fontId="2" fillId="0" borderId="0" xfId="0" applyFont="1"/>
    <xf numFmtId="0" fontId="0" fillId="0" borderId="0" xfId="0"/>
    <xf numFmtId="0" fontId="1" fillId="0" borderId="0" xfId="0" applyFont="1"/>
    <xf numFmtId="164" fontId="5" fillId="3" borderId="1" xfId="0" applyNumberFormat="1" applyFont="1" applyFill="1" applyBorder="1" applyAlignment="1">
      <alignment horizontal="center" vertical="center"/>
    </xf>
    <xf numFmtId="0" fontId="0" fillId="3" borderId="3" xfId="0" applyFill="1" applyBorder="1"/>
    <xf numFmtId="0" fontId="5" fillId="3" borderId="1" xfId="0" applyFont="1" applyFill="1" applyBorder="1" applyAlignment="1">
      <alignment horizontal="left" vertical="center" indent="1"/>
    </xf>
    <xf numFmtId="43" fontId="8" fillId="0" borderId="1" xfId="1" applyFont="1" applyBorder="1" applyAlignment="1">
      <alignment vertical="center"/>
    </xf>
    <xf numFmtId="43" fontId="9" fillId="0" borderId="0" xfId="1" applyFont="1"/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5" activePane="bottomLeft" state="frozen"/>
      <selection pane="bottomLeft" activeCell="H18" sqref="H18"/>
    </sheetView>
  </sheetViews>
  <sheetFormatPr defaultRowHeight="14.4" x14ac:dyDescent="0.3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6" t="s">
        <v>0</v>
      </c>
      <c r="B1" s="25"/>
      <c r="C1" s="25"/>
      <c r="D1" s="25"/>
      <c r="E1" s="25"/>
      <c r="F1" s="25"/>
      <c r="G1" s="25"/>
      <c r="H1" s="25"/>
    </row>
    <row r="2" spans="1:8" x14ac:dyDescent="0.3">
      <c r="A2" s="24" t="s">
        <v>1</v>
      </c>
      <c r="B2" s="25"/>
      <c r="C2" s="25"/>
      <c r="D2" s="25"/>
      <c r="E2" s="25"/>
      <c r="F2" s="25"/>
      <c r="G2" s="25"/>
      <c r="H2" s="25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29" t="s">
        <v>34</v>
      </c>
      <c r="B5" s="5" t="s">
        <v>54</v>
      </c>
      <c r="C5" s="6">
        <v>46084</v>
      </c>
      <c r="D5" s="6">
        <v>46127</v>
      </c>
      <c r="E5" s="7">
        <v>1</v>
      </c>
      <c r="F5" s="5" t="s">
        <v>11</v>
      </c>
      <c r="G5" s="27">
        <v>46213</v>
      </c>
      <c r="H5" s="5"/>
    </row>
    <row r="6" spans="1:8" x14ac:dyDescent="0.3">
      <c r="A6" s="28"/>
      <c r="B6" s="5" t="s">
        <v>55</v>
      </c>
      <c r="C6" s="6">
        <v>46189</v>
      </c>
      <c r="D6" s="6">
        <v>46189</v>
      </c>
      <c r="E6" s="7">
        <v>1</v>
      </c>
      <c r="F6" s="5" t="s">
        <v>11</v>
      </c>
      <c r="G6" s="28"/>
      <c r="H6" s="5"/>
    </row>
    <row r="7" spans="1:8" x14ac:dyDescent="0.3">
      <c r="A7" s="29" t="s">
        <v>36</v>
      </c>
      <c r="B7" s="5" t="s">
        <v>54</v>
      </c>
      <c r="C7" s="6">
        <v>46219</v>
      </c>
      <c r="D7" s="6">
        <v>46233</v>
      </c>
      <c r="E7" s="7">
        <v>0</v>
      </c>
      <c r="F7" s="5" t="s">
        <v>12</v>
      </c>
      <c r="G7" s="27" t="s">
        <v>38</v>
      </c>
      <c r="H7" s="5"/>
    </row>
    <row r="8" spans="1:8" x14ac:dyDescent="0.3">
      <c r="A8" s="28"/>
      <c r="B8" s="5" t="s">
        <v>55</v>
      </c>
      <c r="C8" s="6">
        <v>46244</v>
      </c>
      <c r="D8" s="6">
        <v>46247</v>
      </c>
      <c r="E8" s="7">
        <v>0</v>
      </c>
      <c r="F8" s="5" t="s">
        <v>12</v>
      </c>
      <c r="G8" s="28"/>
      <c r="H8" s="5"/>
    </row>
    <row r="9" spans="1:8" x14ac:dyDescent="0.3">
      <c r="A9" s="29" t="s">
        <v>39</v>
      </c>
      <c r="B9" s="5" t="s">
        <v>54</v>
      </c>
      <c r="C9" s="6">
        <v>46082</v>
      </c>
      <c r="D9" s="6">
        <v>46096</v>
      </c>
      <c r="E9" s="7">
        <v>1</v>
      </c>
      <c r="F9" s="5" t="s">
        <v>11</v>
      </c>
      <c r="G9" s="27">
        <v>46204</v>
      </c>
      <c r="H9" s="5"/>
    </row>
    <row r="10" spans="1:8" x14ac:dyDescent="0.3">
      <c r="A10" s="28"/>
      <c r="B10" s="5" t="s">
        <v>55</v>
      </c>
      <c r="C10" s="6">
        <v>46168</v>
      </c>
      <c r="D10" s="6">
        <v>46213</v>
      </c>
      <c r="E10" s="7">
        <v>1</v>
      </c>
      <c r="F10" s="5" t="s">
        <v>11</v>
      </c>
      <c r="G10" s="28"/>
      <c r="H10" s="5"/>
    </row>
    <row r="11" spans="1:8" x14ac:dyDescent="0.3">
      <c r="A11" s="29" t="s">
        <v>40</v>
      </c>
      <c r="B11" s="5" t="s">
        <v>54</v>
      </c>
      <c r="C11" s="6">
        <v>46184</v>
      </c>
      <c r="D11" s="6">
        <v>46191</v>
      </c>
      <c r="E11" s="7">
        <v>1</v>
      </c>
      <c r="F11" s="5" t="s">
        <v>11</v>
      </c>
      <c r="G11" s="27">
        <v>46171</v>
      </c>
      <c r="H11" s="5"/>
    </row>
    <row r="12" spans="1:8" x14ac:dyDescent="0.3">
      <c r="A12" s="28"/>
      <c r="B12" s="5" t="s">
        <v>55</v>
      </c>
      <c r="C12" s="6">
        <v>46200</v>
      </c>
      <c r="D12" s="6">
        <v>46202</v>
      </c>
      <c r="E12" s="7">
        <v>1</v>
      </c>
      <c r="F12" s="5" t="s">
        <v>11</v>
      </c>
      <c r="G12" s="28"/>
      <c r="H12" s="5"/>
    </row>
    <row r="13" spans="1:8" x14ac:dyDescent="0.3">
      <c r="A13" s="29" t="s">
        <v>41</v>
      </c>
      <c r="B13" s="5" t="s">
        <v>54</v>
      </c>
      <c r="C13" s="6">
        <v>46392</v>
      </c>
      <c r="D13" s="6">
        <v>46402</v>
      </c>
      <c r="E13" s="7">
        <v>0</v>
      </c>
      <c r="F13" s="5" t="s">
        <v>12</v>
      </c>
      <c r="G13" s="27" t="s">
        <v>38</v>
      </c>
      <c r="H13" s="5"/>
    </row>
    <row r="14" spans="1:8" x14ac:dyDescent="0.3">
      <c r="A14" s="28"/>
      <c r="B14" s="5" t="s">
        <v>55</v>
      </c>
      <c r="C14" s="6">
        <v>46042</v>
      </c>
      <c r="D14" s="6">
        <v>46042</v>
      </c>
      <c r="E14" s="7">
        <v>0</v>
      </c>
      <c r="F14" s="5" t="s">
        <v>12</v>
      </c>
      <c r="G14" s="28"/>
      <c r="H14" s="5"/>
    </row>
    <row r="15" spans="1:8" x14ac:dyDescent="0.3">
      <c r="A15" s="29" t="s">
        <v>42</v>
      </c>
      <c r="B15" s="5" t="s">
        <v>54</v>
      </c>
      <c r="C15" s="6">
        <v>46168</v>
      </c>
      <c r="D15" s="6">
        <v>46188</v>
      </c>
      <c r="E15" s="7">
        <v>1</v>
      </c>
      <c r="F15" s="5" t="s">
        <v>11</v>
      </c>
      <c r="G15" s="27">
        <v>46199</v>
      </c>
      <c r="H15" s="5"/>
    </row>
    <row r="16" spans="1:8" x14ac:dyDescent="0.3">
      <c r="A16" s="28"/>
      <c r="B16" s="5" t="s">
        <v>55</v>
      </c>
      <c r="C16" s="6">
        <v>46198</v>
      </c>
      <c r="D16" s="6">
        <v>46199</v>
      </c>
      <c r="E16" s="7">
        <v>1</v>
      </c>
      <c r="F16" s="5" t="s">
        <v>11</v>
      </c>
      <c r="G16" s="28"/>
      <c r="H16" s="5"/>
    </row>
    <row r="17" spans="1:8" x14ac:dyDescent="0.3">
      <c r="A17" s="29" t="s">
        <v>44</v>
      </c>
      <c r="B17" s="5" t="s">
        <v>54</v>
      </c>
      <c r="C17" s="6">
        <v>46188</v>
      </c>
      <c r="D17" s="6">
        <v>46198</v>
      </c>
      <c r="E17" s="7">
        <v>1</v>
      </c>
      <c r="F17" s="5" t="s">
        <v>11</v>
      </c>
      <c r="G17" s="27">
        <v>46305</v>
      </c>
      <c r="H17" s="5"/>
    </row>
    <row r="18" spans="1:8" x14ac:dyDescent="0.3">
      <c r="A18" s="28"/>
      <c r="B18" s="5" t="s">
        <v>55</v>
      </c>
      <c r="C18" s="6">
        <v>46296</v>
      </c>
      <c r="D18" s="6">
        <v>46298</v>
      </c>
      <c r="E18" s="7">
        <v>0.4</v>
      </c>
      <c r="F18" s="5" t="s">
        <v>10</v>
      </c>
      <c r="G18" s="28"/>
      <c r="H18" s="5"/>
    </row>
    <row r="19" spans="1:8" x14ac:dyDescent="0.3">
      <c r="A19" s="29" t="s">
        <v>45</v>
      </c>
      <c r="B19" s="5" t="s">
        <v>54</v>
      </c>
      <c r="C19" s="6">
        <v>46275</v>
      </c>
      <c r="D19" s="6">
        <v>46290</v>
      </c>
      <c r="E19" s="7">
        <v>0</v>
      </c>
      <c r="F19" s="5" t="s">
        <v>12</v>
      </c>
      <c r="G19" s="27">
        <v>46336</v>
      </c>
      <c r="H19" s="5"/>
    </row>
    <row r="20" spans="1:8" x14ac:dyDescent="0.3">
      <c r="A20" s="28"/>
      <c r="B20" s="5" t="s">
        <v>55</v>
      </c>
      <c r="C20" s="6">
        <v>46327</v>
      </c>
      <c r="D20" s="6">
        <v>46329</v>
      </c>
      <c r="E20" s="7">
        <v>0</v>
      </c>
      <c r="F20" s="5" t="s">
        <v>12</v>
      </c>
      <c r="G20" s="28"/>
      <c r="H20" s="5"/>
    </row>
    <row r="21" spans="1:8" x14ac:dyDescent="0.3">
      <c r="A21" s="29" t="s">
        <v>46</v>
      </c>
      <c r="B21" s="5" t="s">
        <v>54</v>
      </c>
      <c r="C21" s="6">
        <v>46240</v>
      </c>
      <c r="D21" s="6">
        <v>46249</v>
      </c>
      <c r="E21" s="7">
        <v>0</v>
      </c>
      <c r="F21" s="5" t="s">
        <v>12</v>
      </c>
      <c r="G21" s="27">
        <v>46336</v>
      </c>
    </row>
    <row r="22" spans="1:8" x14ac:dyDescent="0.3">
      <c r="A22" s="28"/>
      <c r="B22" s="5" t="s">
        <v>55</v>
      </c>
      <c r="C22" s="6">
        <v>46327</v>
      </c>
      <c r="D22" s="6">
        <v>46329</v>
      </c>
      <c r="E22" s="7">
        <v>0</v>
      </c>
      <c r="F22" s="5" t="s">
        <v>12</v>
      </c>
      <c r="G22" s="28"/>
    </row>
    <row r="23" spans="1:8" x14ac:dyDescent="0.3">
      <c r="A23" s="29" t="s">
        <v>48</v>
      </c>
      <c r="B23" s="5" t="s">
        <v>54</v>
      </c>
      <c r="C23" s="6">
        <v>46190</v>
      </c>
      <c r="D23" s="6">
        <v>46206</v>
      </c>
      <c r="E23" s="7">
        <v>0.5</v>
      </c>
      <c r="F23" s="5" t="s">
        <v>10</v>
      </c>
      <c r="G23" s="27">
        <v>46218</v>
      </c>
    </row>
    <row r="24" spans="1:8" x14ac:dyDescent="0.3">
      <c r="A24" s="28"/>
      <c r="B24" s="5" t="s">
        <v>55</v>
      </c>
      <c r="C24" s="6">
        <v>46209</v>
      </c>
      <c r="D24" s="6">
        <v>46211</v>
      </c>
      <c r="E24" s="7">
        <v>0</v>
      </c>
      <c r="F24" s="5" t="s">
        <v>10</v>
      </c>
      <c r="G24" s="28"/>
    </row>
    <row r="25" spans="1:8" x14ac:dyDescent="0.3">
      <c r="A25" s="29" t="s">
        <v>49</v>
      </c>
      <c r="B25" s="5" t="s">
        <v>54</v>
      </c>
      <c r="C25" s="6">
        <v>46185</v>
      </c>
      <c r="D25" s="6">
        <v>46188</v>
      </c>
      <c r="E25" s="7">
        <v>1</v>
      </c>
      <c r="F25" s="5" t="s">
        <v>11</v>
      </c>
      <c r="G25" s="27">
        <v>46188</v>
      </c>
    </row>
    <row r="26" spans="1:8" x14ac:dyDescent="0.3">
      <c r="A26" s="28"/>
      <c r="B26" s="5" t="s">
        <v>55</v>
      </c>
      <c r="C26" s="6">
        <v>46185</v>
      </c>
      <c r="D26" s="6">
        <v>46188</v>
      </c>
      <c r="E26" s="7">
        <v>1</v>
      </c>
      <c r="F26" s="5" t="s">
        <v>11</v>
      </c>
      <c r="G26" s="28"/>
    </row>
    <row r="27" spans="1:8" x14ac:dyDescent="0.3">
      <c r="A27" s="29" t="s">
        <v>50</v>
      </c>
      <c r="B27" s="5" t="s">
        <v>54</v>
      </c>
      <c r="C27" s="6">
        <v>46234</v>
      </c>
      <c r="D27" s="6">
        <v>46247</v>
      </c>
      <c r="E27" s="7">
        <v>0</v>
      </c>
      <c r="F27" s="5" t="s">
        <v>10</v>
      </c>
      <c r="G27" s="27">
        <v>46321</v>
      </c>
    </row>
    <row r="28" spans="1:8" x14ac:dyDescent="0.3">
      <c r="A28" s="28"/>
      <c r="B28" s="5" t="s">
        <v>55</v>
      </c>
      <c r="C28" s="6">
        <v>46314</v>
      </c>
      <c r="D28" s="6">
        <v>46316</v>
      </c>
      <c r="E28" s="7">
        <v>0</v>
      </c>
      <c r="F28" s="5" t="s">
        <v>10</v>
      </c>
      <c r="G28" s="28"/>
    </row>
    <row r="29" spans="1:8" x14ac:dyDescent="0.3">
      <c r="A29" s="29" t="s">
        <v>51</v>
      </c>
      <c r="B29" s="5" t="s">
        <v>54</v>
      </c>
      <c r="C29" s="6">
        <v>46091</v>
      </c>
      <c r="D29" s="6">
        <v>46100</v>
      </c>
      <c r="E29" s="7">
        <v>1</v>
      </c>
      <c r="F29" s="5" t="s">
        <v>11</v>
      </c>
      <c r="G29" s="27">
        <v>46139</v>
      </c>
    </row>
    <row r="30" spans="1:8" x14ac:dyDescent="0.3">
      <c r="A30" s="28"/>
      <c r="B30" s="5" t="s">
        <v>55</v>
      </c>
      <c r="C30" s="6">
        <v>46120</v>
      </c>
      <c r="D30" s="6">
        <v>46124</v>
      </c>
      <c r="E30" s="7">
        <v>1</v>
      </c>
      <c r="F30" s="5" t="s">
        <v>11</v>
      </c>
      <c r="G30" s="28"/>
    </row>
    <row r="31" spans="1:8" x14ac:dyDescent="0.3">
      <c r="A31" s="29" t="s">
        <v>53</v>
      </c>
      <c r="B31" s="5" t="s">
        <v>54</v>
      </c>
      <c r="C31" s="6">
        <v>46091</v>
      </c>
      <c r="D31" s="6">
        <v>46094</v>
      </c>
      <c r="E31" s="7">
        <v>1</v>
      </c>
      <c r="F31" s="5" t="s">
        <v>11</v>
      </c>
      <c r="G31" s="27">
        <v>46133</v>
      </c>
    </row>
    <row r="32" spans="1:8" x14ac:dyDescent="0.3">
      <c r="A32" s="28"/>
      <c r="B32" s="5" t="s">
        <v>55</v>
      </c>
      <c r="C32" s="6">
        <v>46091</v>
      </c>
      <c r="D32" s="6">
        <v>46094</v>
      </c>
      <c r="E32" s="7">
        <v>1</v>
      </c>
      <c r="F32" s="5" t="s">
        <v>11</v>
      </c>
      <c r="G32" s="28"/>
    </row>
    <row r="33" spans="1:7" x14ac:dyDescent="0.3">
      <c r="A33" s="29" t="s">
        <v>62</v>
      </c>
      <c r="B33" s="5" t="s">
        <v>54</v>
      </c>
      <c r="C33" s="6">
        <v>46091</v>
      </c>
      <c r="D33" s="6">
        <v>46094</v>
      </c>
      <c r="E33" s="7">
        <v>0</v>
      </c>
      <c r="F33" s="5" t="s">
        <v>10</v>
      </c>
      <c r="G33" s="27">
        <v>46295</v>
      </c>
    </row>
    <row r="34" spans="1:7" x14ac:dyDescent="0.3">
      <c r="A34" s="28"/>
      <c r="B34" s="5" t="s">
        <v>55</v>
      </c>
      <c r="C34" s="6">
        <v>46091</v>
      </c>
      <c r="D34" s="6">
        <v>46094</v>
      </c>
      <c r="E34" s="7">
        <v>0</v>
      </c>
      <c r="F34" s="5" t="s">
        <v>10</v>
      </c>
      <c r="G34" s="28"/>
    </row>
    <row r="35" spans="1:7" x14ac:dyDescent="0.3">
      <c r="A35" s="29" t="s">
        <v>63</v>
      </c>
      <c r="B35" s="5" t="s">
        <v>54</v>
      </c>
      <c r="C35" s="6">
        <v>45723</v>
      </c>
      <c r="D35" s="6">
        <v>45729</v>
      </c>
      <c r="E35" s="7">
        <v>1</v>
      </c>
      <c r="F35" s="5" t="s">
        <v>10</v>
      </c>
      <c r="G35" s="27">
        <v>45737</v>
      </c>
    </row>
    <row r="36" spans="1:7" x14ac:dyDescent="0.3">
      <c r="A36" s="28"/>
      <c r="B36" s="5" t="s">
        <v>55</v>
      </c>
      <c r="C36" s="6">
        <v>45729</v>
      </c>
      <c r="D36" s="6">
        <v>45732</v>
      </c>
      <c r="E36" s="7">
        <v>0.9</v>
      </c>
      <c r="F36" s="5" t="s">
        <v>10</v>
      </c>
      <c r="G36" s="28"/>
    </row>
    <row r="37" spans="1:7" x14ac:dyDescent="0.3">
      <c r="A37" s="29" t="s">
        <v>64</v>
      </c>
      <c r="B37" s="5" t="s">
        <v>54</v>
      </c>
      <c r="C37" s="6">
        <v>45723</v>
      </c>
      <c r="D37" s="6">
        <v>45729</v>
      </c>
      <c r="E37" s="7">
        <v>1</v>
      </c>
      <c r="F37" s="5" t="s">
        <v>10</v>
      </c>
      <c r="G37" s="27">
        <v>45737</v>
      </c>
    </row>
    <row r="38" spans="1:7" x14ac:dyDescent="0.3">
      <c r="A38" s="28"/>
      <c r="B38" s="5" t="s">
        <v>55</v>
      </c>
      <c r="C38" s="6">
        <v>45729</v>
      </c>
      <c r="D38" s="6">
        <v>45732</v>
      </c>
      <c r="E38" s="7">
        <v>0.9</v>
      </c>
      <c r="F38" s="5" t="s">
        <v>10</v>
      </c>
      <c r="G38" s="28"/>
    </row>
  </sheetData>
  <mergeCells count="36"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  <mergeCell ref="A21:A22"/>
    <mergeCell ref="G21:G22"/>
    <mergeCell ref="A9:A10"/>
    <mergeCell ref="A13:A14"/>
    <mergeCell ref="A35:A36"/>
    <mergeCell ref="G35:G36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workbookViewId="0">
      <pane xSplit="1" topLeftCell="B1" activePane="topRight" state="frozen"/>
      <selection pane="topRight" activeCell="O26" sqref="O26"/>
    </sheetView>
  </sheetViews>
  <sheetFormatPr defaultRowHeight="14.4" x14ac:dyDescent="0.3"/>
  <cols>
    <col min="1" max="1" width="37.2187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6" t="s">
        <v>13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</row>
    <row r="2" spans="1:19" x14ac:dyDescent="0.3">
      <c r="A2" s="24" t="s">
        <v>14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</row>
    <row r="4" spans="1:19" ht="41.4" x14ac:dyDescent="0.3">
      <c r="A4" s="1" t="s">
        <v>2</v>
      </c>
      <c r="B4" s="1" t="s">
        <v>7</v>
      </c>
      <c r="C4" s="1" t="s">
        <v>15</v>
      </c>
      <c r="D4" s="1" t="s">
        <v>16</v>
      </c>
      <c r="E4" s="1" t="s">
        <v>17</v>
      </c>
      <c r="F4" s="1" t="s">
        <v>18</v>
      </c>
      <c r="G4" s="1" t="s">
        <v>19</v>
      </c>
      <c r="H4" s="1" t="s">
        <v>20</v>
      </c>
      <c r="I4" s="1" t="s">
        <v>21</v>
      </c>
      <c r="J4" s="1" t="s">
        <v>22</v>
      </c>
      <c r="K4" s="1" t="s">
        <v>23</v>
      </c>
      <c r="L4" s="1" t="s">
        <v>24</v>
      </c>
      <c r="M4" s="1" t="s">
        <v>25</v>
      </c>
      <c r="N4" s="1" t="s">
        <v>26</v>
      </c>
      <c r="O4" s="1" t="s">
        <v>27</v>
      </c>
      <c r="P4" s="1" t="s">
        <v>4</v>
      </c>
      <c r="Q4" s="1" t="s">
        <v>5</v>
      </c>
      <c r="R4" s="1" t="s">
        <v>28</v>
      </c>
      <c r="S4" s="1" t="s">
        <v>9</v>
      </c>
    </row>
    <row r="5" spans="1:19" s="19" customFormat="1" ht="18.600000000000001" x14ac:dyDescent="0.55000000000000004">
      <c r="A5" s="9" t="s">
        <v>34</v>
      </c>
      <c r="B5" s="9" t="s">
        <v>10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37</v>
      </c>
      <c r="O5" s="30">
        <v>130000</v>
      </c>
      <c r="P5" s="13">
        <f>'[1]Master Schedule'!C5</f>
        <v>46084</v>
      </c>
      <c r="Q5" s="13">
        <v>46106</v>
      </c>
      <c r="R5" s="9"/>
      <c r="S5" s="9" t="s">
        <v>59</v>
      </c>
    </row>
    <row r="6" spans="1:19" s="19" customFormat="1" ht="18.600000000000001" x14ac:dyDescent="0.55000000000000004">
      <c r="A6" s="9" t="s">
        <v>36</v>
      </c>
      <c r="B6" s="9" t="s">
        <v>12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37</v>
      </c>
      <c r="O6" s="30">
        <v>139446</v>
      </c>
      <c r="P6" s="13">
        <f>'[1]Master Schedule'!C6</f>
        <v>46189</v>
      </c>
      <c r="Q6" s="13">
        <v>46264</v>
      </c>
      <c r="R6" s="9"/>
      <c r="S6" s="9" t="s">
        <v>60</v>
      </c>
    </row>
    <row r="7" spans="1:19" s="19" customFormat="1" ht="18.600000000000001" x14ac:dyDescent="0.55000000000000004">
      <c r="A7" s="9" t="s">
        <v>39</v>
      </c>
      <c r="B7" s="9" t="s">
        <v>10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37</v>
      </c>
      <c r="O7" s="30">
        <v>280000</v>
      </c>
      <c r="P7" s="13">
        <f>'[1]Master Schedule'!C7</f>
        <v>46219</v>
      </c>
      <c r="Q7" s="13">
        <v>46102</v>
      </c>
      <c r="R7" s="9"/>
      <c r="S7" s="9" t="s">
        <v>61</v>
      </c>
    </row>
    <row r="8" spans="1:19" s="19" customFormat="1" ht="18.600000000000001" x14ac:dyDescent="0.55000000000000004">
      <c r="A8" s="9" t="s">
        <v>40</v>
      </c>
      <c r="B8" s="9" t="s">
        <v>11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43</v>
      </c>
      <c r="O8" s="30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41</v>
      </c>
      <c r="B9" s="9" t="s">
        <v>12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30" t="s">
        <v>38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42</v>
      </c>
      <c r="B10" s="9" t="s">
        <v>10</v>
      </c>
      <c r="C10" s="10">
        <v>0.9</v>
      </c>
      <c r="D10" s="11">
        <v>338450.2</v>
      </c>
      <c r="E10" s="11">
        <f>O10*0.8</f>
        <v>110400</v>
      </c>
      <c r="F10" s="11">
        <v>370</v>
      </c>
      <c r="G10" s="11">
        <f>D10*0.4</f>
        <v>135380.08000000002</v>
      </c>
      <c r="H10" s="12">
        <v>10</v>
      </c>
      <c r="I10" s="12"/>
      <c r="J10" s="9"/>
      <c r="K10" s="11">
        <v>5783</v>
      </c>
      <c r="L10" s="11"/>
      <c r="M10" s="11">
        <v>787</v>
      </c>
      <c r="N10" s="9" t="s">
        <v>43</v>
      </c>
      <c r="O10" s="30">
        <v>138000</v>
      </c>
      <c r="P10" s="13">
        <f>'[1]Master Schedule'!C10</f>
        <v>46168</v>
      </c>
      <c r="Q10" s="13">
        <v>46199</v>
      </c>
      <c r="R10" s="9"/>
      <c r="S10" s="9" t="s">
        <v>59</v>
      </c>
    </row>
    <row r="11" spans="1:19" s="19" customFormat="1" ht="18.600000000000001" x14ac:dyDescent="0.55000000000000004">
      <c r="A11" s="19" t="s">
        <v>44</v>
      </c>
      <c r="B11" s="9" t="s">
        <v>10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J11" s="9"/>
      <c r="K11" s="11">
        <v>26094</v>
      </c>
      <c r="L11" s="11"/>
      <c r="M11" s="11">
        <v>46175</v>
      </c>
      <c r="N11" s="19" t="s">
        <v>35</v>
      </c>
      <c r="O11" s="30">
        <v>280000</v>
      </c>
      <c r="P11" s="13">
        <f>'[1]Master Schedule'!C11</f>
        <v>46184</v>
      </c>
      <c r="Q11" s="13">
        <v>46305</v>
      </c>
      <c r="R11" s="9"/>
      <c r="S11" s="9"/>
    </row>
    <row r="12" spans="1:19" s="19" customFormat="1" ht="18.600000000000001" x14ac:dyDescent="0.55000000000000004">
      <c r="A12" s="19" t="s">
        <v>45</v>
      </c>
      <c r="B12" s="9" t="s">
        <v>12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47</v>
      </c>
      <c r="O12" s="30">
        <v>233247.9</v>
      </c>
      <c r="P12" s="13">
        <f>'[1]Master Schedule'!C12</f>
        <v>46200</v>
      </c>
      <c r="Q12" s="13">
        <v>46336</v>
      </c>
      <c r="R12" s="9"/>
      <c r="S12" s="9" t="s">
        <v>60</v>
      </c>
    </row>
    <row r="13" spans="1:19" s="19" customFormat="1" ht="18.600000000000001" x14ac:dyDescent="0.55000000000000004">
      <c r="A13" s="19" t="s">
        <v>46</v>
      </c>
      <c r="B13" s="9" t="s">
        <v>12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37</v>
      </c>
      <c r="O13" s="31">
        <v>120000</v>
      </c>
      <c r="P13" s="13">
        <f>'[1]Master Schedule'!C13</f>
        <v>46392</v>
      </c>
      <c r="Q13" s="20">
        <v>46336</v>
      </c>
      <c r="S13" s="9" t="s">
        <v>60</v>
      </c>
    </row>
    <row r="14" spans="1:19" s="19" customFormat="1" ht="18.600000000000001" x14ac:dyDescent="0.55000000000000004">
      <c r="A14" s="19" t="s">
        <v>48</v>
      </c>
      <c r="B14" s="9" t="s">
        <v>10</v>
      </c>
      <c r="C14" s="10">
        <v>0.5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47</v>
      </c>
      <c r="O14" s="31">
        <v>656679.03</v>
      </c>
      <c r="P14" s="13">
        <f>'[1]Master Schedule'!C14</f>
        <v>46042</v>
      </c>
      <c r="Q14" s="20">
        <v>46218</v>
      </c>
    </row>
    <row r="15" spans="1:19" s="19" customFormat="1" ht="18.600000000000001" x14ac:dyDescent="0.55000000000000004">
      <c r="A15" s="19" t="s">
        <v>49</v>
      </c>
      <c r="B15" s="9" t="s">
        <v>11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35</v>
      </c>
      <c r="O15" s="31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50</v>
      </c>
      <c r="B16" s="9" t="s">
        <v>10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52</v>
      </c>
      <c r="O16" s="31">
        <v>430000</v>
      </c>
      <c r="P16" s="13">
        <f>'[1]Master Schedule'!C16</f>
        <v>46198</v>
      </c>
      <c r="Q16" s="20">
        <v>46321</v>
      </c>
      <c r="S16" s="9" t="s">
        <v>60</v>
      </c>
    </row>
    <row r="17" spans="1:19" s="19" customFormat="1" ht="18.600000000000001" x14ac:dyDescent="0.55000000000000004">
      <c r="A17" s="19" t="s">
        <v>51</v>
      </c>
      <c r="B17" s="9" t="s">
        <v>11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35</v>
      </c>
      <c r="O17" s="31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53</v>
      </c>
      <c r="B18" s="9" t="s">
        <v>11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43</v>
      </c>
      <c r="O18" s="31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62</v>
      </c>
      <c r="B19" s="9" t="s">
        <v>10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43</v>
      </c>
      <c r="O19" s="31"/>
      <c r="P19" s="13">
        <f>'Master Schedule'!C33</f>
        <v>46091</v>
      </c>
      <c r="Q19" s="20">
        <v>46295</v>
      </c>
      <c r="S19" s="9" t="s">
        <v>60</v>
      </c>
    </row>
    <row r="20" spans="1:19" s="19" customFormat="1" ht="18.600000000000001" x14ac:dyDescent="0.55000000000000004">
      <c r="A20" s="19" t="s">
        <v>63</v>
      </c>
      <c r="B20" s="21" t="s">
        <v>10</v>
      </c>
      <c r="C20" s="10">
        <v>0.9</v>
      </c>
      <c r="D20" s="18">
        <v>341236.34</v>
      </c>
      <c r="E20" s="22">
        <f>O20*0.3</f>
        <v>71744.399999999994</v>
      </c>
      <c r="F20" s="17">
        <v>255</v>
      </c>
      <c r="G20" s="23">
        <f>D20*0.9</f>
        <v>307112.70600000001</v>
      </c>
      <c r="H20" s="19">
        <v>3</v>
      </c>
      <c r="K20" s="19">
        <v>0</v>
      </c>
      <c r="M20" s="19">
        <v>0</v>
      </c>
      <c r="N20" s="19" t="s">
        <v>66</v>
      </c>
      <c r="O20" s="31">
        <v>239148</v>
      </c>
      <c r="P20" s="13">
        <v>45717</v>
      </c>
      <c r="Q20" s="13">
        <v>45737</v>
      </c>
      <c r="S20" s="9" t="s">
        <v>65</v>
      </c>
    </row>
    <row r="21" spans="1:19" s="19" customFormat="1" ht="18.600000000000001" x14ac:dyDescent="0.55000000000000004">
      <c r="A21" s="19" t="s">
        <v>64</v>
      </c>
      <c r="B21" s="21" t="s">
        <v>10</v>
      </c>
      <c r="C21" s="10">
        <v>0.9</v>
      </c>
      <c r="D21" s="17">
        <v>666700</v>
      </c>
      <c r="E21" s="22">
        <f>O21*0.65</f>
        <v>145747.55000000002</v>
      </c>
      <c r="H21" s="19">
        <v>3</v>
      </c>
      <c r="K21" s="19">
        <v>0</v>
      </c>
      <c r="M21" s="19">
        <v>0</v>
      </c>
      <c r="N21" s="19" t="s">
        <v>66</v>
      </c>
      <c r="O21" s="31">
        <v>224227</v>
      </c>
      <c r="P21" s="13">
        <v>45717</v>
      </c>
      <c r="Q21" s="13">
        <v>45737</v>
      </c>
      <c r="S21" s="9" t="s">
        <v>65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F20" sqref="F20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6" t="s">
        <v>29</v>
      </c>
      <c r="B1" s="25"/>
      <c r="C1" s="25"/>
    </row>
    <row r="2" spans="1:3" x14ac:dyDescent="0.3">
      <c r="A2" s="24" t="s">
        <v>30</v>
      </c>
      <c r="B2" s="25"/>
      <c r="C2" s="25"/>
    </row>
    <row r="4" spans="1:3" x14ac:dyDescent="0.3">
      <c r="A4" s="1" t="s">
        <v>31</v>
      </c>
      <c r="B4" s="1" t="s">
        <v>32</v>
      </c>
      <c r="C4" s="1" t="s">
        <v>33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56</v>
      </c>
      <c r="C7" s="8">
        <v>4</v>
      </c>
    </row>
    <row r="8" spans="1:3" x14ac:dyDescent="0.3">
      <c r="A8" s="6">
        <v>46189</v>
      </c>
      <c r="B8" s="5" t="s">
        <v>56</v>
      </c>
      <c r="C8" s="8">
        <v>4</v>
      </c>
    </row>
    <row r="9" spans="1:3" x14ac:dyDescent="0.3">
      <c r="A9" s="6">
        <v>46183</v>
      </c>
      <c r="B9" s="5" t="s">
        <v>57</v>
      </c>
      <c r="C9" s="8">
        <v>3</v>
      </c>
    </row>
    <row r="10" spans="1:3" x14ac:dyDescent="0.3">
      <c r="A10" s="6">
        <v>46185</v>
      </c>
      <c r="B10" s="5" t="s">
        <v>58</v>
      </c>
      <c r="C10" s="8">
        <v>2.5</v>
      </c>
    </row>
    <row r="11" spans="1:3" x14ac:dyDescent="0.3">
      <c r="A11" s="6">
        <v>46190</v>
      </c>
      <c r="B11" s="5" t="s">
        <v>56</v>
      </c>
      <c r="C11" s="8">
        <v>3</v>
      </c>
    </row>
    <row r="12" spans="1:3" x14ac:dyDescent="0.3">
      <c r="A12" s="6">
        <v>46190</v>
      </c>
      <c r="B12" s="5" t="s">
        <v>58</v>
      </c>
      <c r="C12" s="8">
        <v>3</v>
      </c>
    </row>
    <row r="13" spans="1:3" x14ac:dyDescent="0.3">
      <c r="A13" s="6">
        <v>46192</v>
      </c>
      <c r="B13" s="5" t="s">
        <v>56</v>
      </c>
      <c r="C13" s="8">
        <v>3</v>
      </c>
    </row>
    <row r="14" spans="1:3" x14ac:dyDescent="0.3">
      <c r="A14" s="6">
        <v>46197</v>
      </c>
      <c r="B14" s="5" t="s">
        <v>58</v>
      </c>
      <c r="C14" s="8">
        <v>3</v>
      </c>
    </row>
    <row r="15" spans="1:3" x14ac:dyDescent="0.3">
      <c r="A15" s="3">
        <v>46198</v>
      </c>
      <c r="B15" s="5" t="s">
        <v>56</v>
      </c>
      <c r="C15" s="4">
        <v>6</v>
      </c>
    </row>
    <row r="16" spans="1:3" x14ac:dyDescent="0.3">
      <c r="A16" s="3">
        <v>46202</v>
      </c>
      <c r="B16" s="5" t="s">
        <v>56</v>
      </c>
      <c r="C16" s="4">
        <v>6</v>
      </c>
    </row>
    <row r="17" spans="1:3" x14ac:dyDescent="0.3">
      <c r="A17" s="3"/>
      <c r="B17" s="5"/>
      <c r="C17" s="4"/>
    </row>
    <row r="18" spans="1:3" x14ac:dyDescent="0.3">
      <c r="A18" s="3"/>
      <c r="B18" s="2"/>
      <c r="C18" s="4"/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2026-06-25T02:12:24Z</dcterms:created>
  <dcterms:modified xsi:type="dcterms:W3CDTF">2026-06-30T08:02:03Z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