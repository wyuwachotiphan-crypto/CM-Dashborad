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DE7CDBA4-7A0D-4755-B1E6-DDB997BA83E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  <c r="F5" i="2"/>
</calcChain>
</file>

<file path=xl/sharedStrings.xml><?xml version="1.0" encoding="utf-8"?>
<sst xmlns="http://schemas.openxmlformats.org/spreadsheetml/2006/main" count="235" uniqueCount="88">
  <si>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</si>
  <si>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</si>
  <si>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</si>
  <si>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</si>
  <si>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</si>
  <si>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</si>
  <si>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</si>
  <si>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</si>
  <si>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</si>
  <si>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</si>
  <si>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</si>
  <si>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</si>
  <si>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</si>
  <si>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</si>
  <si>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</si>
  <si>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</si>
  <si>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</si>
  <si>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</si>
  <si>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</si>
  <si>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</si>
  <si>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</si>
  <si>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</si>
  <si>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</si>
  <si>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</si>
  <si>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</si>
  <si>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</si>
  <si>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</si>
  <si>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</si>
  <si>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</si>
  <si>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</si>
  <si>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</si>
  <si>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</si>
  <si>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</si>
  <si>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</si>
  <si>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</si>
  <si>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</si>
  <si>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</si>
  <si>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</si>
  <si>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</si>
  <si>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</si>
  <si>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</si>
  <si>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</si>
  <si>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</si>
  <si>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</si>
  <si>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</si>
  <si>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</si>
  <si>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</si>
  <si>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</si>
  <si>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</si>
  <si>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</si>
  <si>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</si>
  <si>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</si>
  <si>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</si>
  <si>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</si>
  <si>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</si>
  <si>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</si>
  <si>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</si>
  <si>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</si>
  <si>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</si>
  <si>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</si>
  <si>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</si>
  <si>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</si>
  <si>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</si>
  <si>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</si>
  <si>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</si>
  <si>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</si>
  <si>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</si>
  <si>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</si>
  <si>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</si>
  <si>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07/24/2026 เริ่มเข้าไซต์ (Draft)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</si>
  <si>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</si>
  <si>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</si>
  <si>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</si>
  <si>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</si>
  <si>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</si>
  <si>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</si>
  <si>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</si>
  <si>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</si>
  <si>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</si>
  <si>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</si>
  <si>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</si>
  <si>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</si>
  <si>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</si>
  <si>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ปรับปรุงระบบ CRM</t>
  </si>
  <si>
    <t>อัปเดตฟอร์มบันทึกข้อมูลลูกค้าให้รองรับโครงการ Internal</t>
  </si>
  <si>
    <t>In Progress</t>
  </si>
  <si>
    <t>จัดอบรมทีมช่าง</t>
  </si>
  <si>
    <t>อบรมมาตรฐานความปลอดภัยหน้างานประจำไตรมาส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</si>
</sst>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3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5" fillId="3" borderId="1" xfId="0" applyNumberFormat="1" applyFont="1" applyFill="1" applyBorder="1" applyAlignment="1">
      <alignment horizontal="center" vertical="center"/>
    </xf>
    <xf numFmtId="0" fontId="0" fillId="0" borderId="0" xfId="0"/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corallife806.sharepoint.com/:b:/s/CoralLife2/IQB_OM8tpcqzSYSvJ6iVtRP4AfoT3xxyU-FbYl9w1ZSicrI?e=Z2SvX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workbookViewId="0">
      <pane ySplit="4" topLeftCell="A11" activePane="bottomLeft" state="frozen"/>
      <selection pane="bottomLeft" activeCell="F16" sqref="F16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32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x14ac:dyDescent="0.3">
      <c r="A2" s="33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spans="1:11" ht="41.4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75</v>
      </c>
      <c r="F4" s="1" t="s">
        <v>76</v>
      </c>
      <c r="G4" s="1" t="s">
        <v>6</v>
      </c>
      <c r="H4" s="1" t="s">
        <v>7</v>
      </c>
      <c r="I4" s="1" t="s">
        <v>8</v>
      </c>
      <c r="J4" s="1" t="s">
        <v>77</v>
      </c>
      <c r="K4" s="1" t="s">
        <v>9</v>
      </c>
    </row>
    <row r="5" spans="1:11" x14ac:dyDescent="0.3">
      <c r="A5" s="34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36">
        <v>46213</v>
      </c>
      <c r="J5" s="36"/>
      <c r="K5" s="5"/>
    </row>
    <row r="6" spans="1:11" x14ac:dyDescent="0.3">
      <c r="A6" s="35"/>
      <c r="B6" s="5" t="s">
        <v>13</v>
      </c>
      <c r="C6" s="6">
        <v>46189</v>
      </c>
      <c r="D6" s="6">
        <v>46189</v>
      </c>
      <c r="E6" s="6"/>
      <c r="F6" s="6"/>
      <c r="G6" s="7">
        <v>1</v>
      </c>
      <c r="H6" s="5" t="s">
        <v>12</v>
      </c>
      <c r="I6" s="35"/>
      <c r="J6" s="36"/>
      <c r="K6" s="5"/>
    </row>
    <row r="7" spans="1:11" x14ac:dyDescent="0.3">
      <c r="A7" s="34" t="s">
        <v>14</v>
      </c>
      <c r="B7" s="5" t="s">
        <v>11</v>
      </c>
      <c r="C7" s="6">
        <v>46219</v>
      </c>
      <c r="D7" s="6">
        <v>46233</v>
      </c>
      <c r="E7" s="6"/>
      <c r="F7" s="6"/>
      <c r="G7" s="7">
        <v>0</v>
      </c>
      <c r="H7" s="5" t="s">
        <v>15</v>
      </c>
      <c r="I7" s="36" t="s">
        <v>16</v>
      </c>
      <c r="J7" s="36"/>
      <c r="K7" s="5"/>
    </row>
    <row r="8" spans="1:11" x14ac:dyDescent="0.3">
      <c r="A8" s="35"/>
      <c r="B8" s="5" t="s">
        <v>13</v>
      </c>
      <c r="C8" s="6">
        <v>46244</v>
      </c>
      <c r="D8" s="6">
        <v>46247</v>
      </c>
      <c r="E8" s="6"/>
      <c r="F8" s="6"/>
      <c r="G8" s="7">
        <v>0</v>
      </c>
      <c r="H8" s="5" t="s">
        <v>15</v>
      </c>
      <c r="I8" s="35"/>
      <c r="J8" s="36"/>
      <c r="K8" s="5"/>
    </row>
    <row r="9" spans="1:11" x14ac:dyDescent="0.3">
      <c r="A9" s="34" t="s">
        <v>17</v>
      </c>
      <c r="B9" s="5" t="s">
        <v>11</v>
      </c>
      <c r="C9" s="6">
        <v>46082</v>
      </c>
      <c r="D9" s="6">
        <v>46096</v>
      </c>
      <c r="E9" s="6"/>
      <c r="F9" s="6"/>
      <c r="G9" s="7">
        <v>1</v>
      </c>
      <c r="H9" s="5" t="s">
        <v>12</v>
      </c>
      <c r="I9" s="36">
        <v>46218</v>
      </c>
      <c r="J9" s="36"/>
      <c r="K9" s="5"/>
    </row>
    <row r="10" spans="1:11" x14ac:dyDescent="0.3">
      <c r="A10" s="35"/>
      <c r="B10" s="5" t="s">
        <v>13</v>
      </c>
      <c r="C10" s="6">
        <v>46168</v>
      </c>
      <c r="D10" s="6">
        <v>46213</v>
      </c>
      <c r="E10" s="6"/>
      <c r="F10" s="6"/>
      <c r="G10" s="7">
        <v>1</v>
      </c>
      <c r="H10" s="5" t="s">
        <v>12</v>
      </c>
      <c r="I10" s="35"/>
      <c r="J10" s="36"/>
      <c r="K10" s="5"/>
    </row>
    <row r="11" spans="1:11" x14ac:dyDescent="0.3">
      <c r="A11" s="34" t="s">
        <v>18</v>
      </c>
      <c r="B11" s="5" t="s">
        <v>11</v>
      </c>
      <c r="C11" s="6">
        <v>46184</v>
      </c>
      <c r="D11" s="6">
        <v>46191</v>
      </c>
      <c r="E11" s="6"/>
      <c r="F11" s="6"/>
      <c r="G11" s="7">
        <v>1</v>
      </c>
      <c r="H11" s="5" t="s">
        <v>12</v>
      </c>
      <c r="I11" s="36">
        <v>46171</v>
      </c>
      <c r="J11" s="36"/>
      <c r="K11" s="5"/>
    </row>
    <row r="12" spans="1:11" x14ac:dyDescent="0.3">
      <c r="A12" s="35"/>
      <c r="B12" s="5" t="s">
        <v>13</v>
      </c>
      <c r="C12" s="6">
        <v>46200</v>
      </c>
      <c r="D12" s="6">
        <v>46202</v>
      </c>
      <c r="E12" s="6"/>
      <c r="F12" s="6"/>
      <c r="G12" s="7">
        <v>1</v>
      </c>
      <c r="H12" s="5" t="s">
        <v>12</v>
      </c>
      <c r="I12" s="35"/>
      <c r="J12" s="36"/>
      <c r="K12" s="5"/>
    </row>
    <row r="13" spans="1:11" x14ac:dyDescent="0.3">
      <c r="A13" s="34" t="s">
        <v>19</v>
      </c>
      <c r="B13" s="5" t="s">
        <v>11</v>
      </c>
      <c r="C13" s="6">
        <v>46392</v>
      </c>
      <c r="D13" s="6">
        <v>46402</v>
      </c>
      <c r="E13" s="6"/>
      <c r="F13" s="6"/>
      <c r="G13" s="7">
        <v>0</v>
      </c>
      <c r="H13" s="5" t="s">
        <v>15</v>
      </c>
      <c r="I13" s="36" t="s">
        <v>16</v>
      </c>
      <c r="J13" s="36"/>
      <c r="K13" s="5"/>
    </row>
    <row r="14" spans="1:11" x14ac:dyDescent="0.3">
      <c r="A14" s="35"/>
      <c r="B14" s="5" t="s">
        <v>13</v>
      </c>
      <c r="C14" s="6">
        <v>46042</v>
      </c>
      <c r="D14" s="6">
        <v>46042</v>
      </c>
      <c r="E14" s="6"/>
      <c r="F14" s="6"/>
      <c r="G14" s="7">
        <v>0</v>
      </c>
      <c r="H14" s="5" t="s">
        <v>15</v>
      </c>
      <c r="I14" s="35"/>
      <c r="J14" s="36"/>
      <c r="K14" s="5"/>
    </row>
    <row r="15" spans="1:11" x14ac:dyDescent="0.3">
      <c r="A15" s="34" t="s">
        <v>20</v>
      </c>
      <c r="B15" s="5" t="s">
        <v>11</v>
      </c>
      <c r="C15" s="6">
        <v>46168</v>
      </c>
      <c r="D15" s="6">
        <v>46188</v>
      </c>
      <c r="E15" s="6"/>
      <c r="F15" s="6"/>
      <c r="G15" s="7">
        <v>1</v>
      </c>
      <c r="H15" s="5" t="s">
        <v>12</v>
      </c>
      <c r="I15" s="36">
        <v>46199</v>
      </c>
      <c r="J15" s="36"/>
      <c r="K15" s="5"/>
    </row>
    <row r="16" spans="1:11" x14ac:dyDescent="0.3">
      <c r="A16" s="35"/>
      <c r="B16" s="5" t="s">
        <v>13</v>
      </c>
      <c r="C16" s="6">
        <v>46198</v>
      </c>
      <c r="D16" s="6">
        <v>46199</v>
      </c>
      <c r="E16" s="6"/>
      <c r="F16" s="6"/>
      <c r="G16" s="7">
        <v>1</v>
      </c>
      <c r="H16" s="5" t="s">
        <v>12</v>
      </c>
      <c r="I16" s="35"/>
      <c r="J16" s="36"/>
      <c r="K16" s="5"/>
    </row>
    <row r="17" spans="1:11" x14ac:dyDescent="0.3">
      <c r="A17" s="34" t="s">
        <v>21</v>
      </c>
      <c r="B17" s="5" t="s">
        <v>11</v>
      </c>
      <c r="C17" s="6">
        <v>46188</v>
      </c>
      <c r="D17" s="6">
        <v>46198</v>
      </c>
      <c r="E17" s="6"/>
      <c r="F17" s="6"/>
      <c r="G17" s="7">
        <v>0.8</v>
      </c>
      <c r="H17" s="5" t="s">
        <v>12</v>
      </c>
      <c r="I17" s="36">
        <v>46305</v>
      </c>
      <c r="J17" s="36"/>
      <c r="K17" s="5"/>
    </row>
    <row r="18" spans="1:11" x14ac:dyDescent="0.3">
      <c r="A18" s="35"/>
      <c r="B18" s="5" t="s">
        <v>13</v>
      </c>
      <c r="C18" s="6">
        <v>46296</v>
      </c>
      <c r="D18" s="6">
        <v>46298</v>
      </c>
      <c r="E18" s="6"/>
      <c r="F18" s="6"/>
      <c r="G18" s="7">
        <v>0.4</v>
      </c>
      <c r="H18" s="5" t="s">
        <v>22</v>
      </c>
      <c r="I18" s="35"/>
      <c r="J18" s="36"/>
      <c r="K18" s="5"/>
    </row>
    <row r="19" spans="1:11" x14ac:dyDescent="0.3">
      <c r="A19" s="34" t="s">
        <v>23</v>
      </c>
      <c r="B19" s="5" t="s">
        <v>11</v>
      </c>
      <c r="C19" s="6">
        <v>46275</v>
      </c>
      <c r="D19" s="6">
        <v>46290</v>
      </c>
      <c r="E19" s="6"/>
      <c r="F19" s="6"/>
      <c r="G19" s="7">
        <v>0</v>
      </c>
      <c r="H19" s="5" t="s">
        <v>15</v>
      </c>
      <c r="I19" s="36">
        <v>46336</v>
      </c>
      <c r="J19" s="36"/>
      <c r="K19" s="5"/>
    </row>
    <row r="20" spans="1:11" x14ac:dyDescent="0.3">
      <c r="A20" s="35"/>
      <c r="B20" s="5" t="s">
        <v>13</v>
      </c>
      <c r="C20" s="6">
        <v>46327</v>
      </c>
      <c r="D20" s="6">
        <v>46329</v>
      </c>
      <c r="E20" s="6"/>
      <c r="F20" s="6"/>
      <c r="G20" s="7">
        <v>0</v>
      </c>
      <c r="H20" s="5" t="s">
        <v>15</v>
      </c>
      <c r="I20" s="35"/>
      <c r="J20" s="36"/>
      <c r="K20" s="5"/>
    </row>
    <row r="21" spans="1:11" x14ac:dyDescent="0.3">
      <c r="A21" s="34" t="s">
        <v>24</v>
      </c>
      <c r="B21" s="5" t="s">
        <v>11</v>
      </c>
      <c r="C21" s="6">
        <v>46240</v>
      </c>
      <c r="D21" s="6">
        <v>46249</v>
      </c>
      <c r="E21" s="6"/>
      <c r="F21" s="6"/>
      <c r="G21" s="7">
        <v>0</v>
      </c>
      <c r="H21" s="5" t="s">
        <v>15</v>
      </c>
      <c r="I21" s="36">
        <v>46336</v>
      </c>
      <c r="J21" s="36"/>
    </row>
    <row r="22" spans="1:11" x14ac:dyDescent="0.3">
      <c r="A22" s="35"/>
      <c r="B22" s="5" t="s">
        <v>13</v>
      </c>
      <c r="C22" s="6">
        <v>46327</v>
      </c>
      <c r="D22" s="6">
        <v>46329</v>
      </c>
      <c r="E22" s="6"/>
      <c r="F22" s="6"/>
      <c r="G22" s="7">
        <v>0</v>
      </c>
      <c r="H22" s="5" t="s">
        <v>15</v>
      </c>
      <c r="I22" s="35"/>
      <c r="J22" s="36"/>
    </row>
    <row r="23" spans="1:11" x14ac:dyDescent="0.3">
      <c r="A23" s="34" t="s">
        <v>25</v>
      </c>
      <c r="B23" s="5" t="s">
        <v>11</v>
      </c>
      <c r="C23" s="6">
        <v>46190</v>
      </c>
      <c r="D23" s="6">
        <v>46206</v>
      </c>
      <c r="E23" s="6"/>
      <c r="F23" s="6"/>
      <c r="G23" s="7">
        <v>0.7</v>
      </c>
      <c r="H23" s="5" t="s">
        <v>22</v>
      </c>
      <c r="I23" s="36">
        <v>46218</v>
      </c>
      <c r="J23" s="36"/>
    </row>
    <row r="24" spans="1:11" x14ac:dyDescent="0.3">
      <c r="A24" s="35"/>
      <c r="B24" s="5" t="s">
        <v>13</v>
      </c>
      <c r="C24" s="6">
        <v>46209</v>
      </c>
      <c r="D24" s="6">
        <v>46211</v>
      </c>
      <c r="E24" s="6"/>
      <c r="F24" s="6"/>
      <c r="G24" s="7">
        <v>0</v>
      </c>
      <c r="H24" s="5" t="s">
        <v>22</v>
      </c>
      <c r="I24" s="35"/>
      <c r="J24" s="36"/>
    </row>
    <row r="25" spans="1:11" x14ac:dyDescent="0.3">
      <c r="A25" s="34" t="s">
        <v>26</v>
      </c>
      <c r="B25" s="5" t="s">
        <v>11</v>
      </c>
      <c r="C25" s="6">
        <v>46185</v>
      </c>
      <c r="D25" s="6">
        <v>46188</v>
      </c>
      <c r="E25" s="6"/>
      <c r="F25" s="6"/>
      <c r="G25" s="7">
        <v>1</v>
      </c>
      <c r="H25" s="5" t="s">
        <v>12</v>
      </c>
      <c r="I25" s="36">
        <v>46188</v>
      </c>
      <c r="J25" s="36"/>
    </row>
    <row r="26" spans="1:11" x14ac:dyDescent="0.3">
      <c r="A26" s="35"/>
      <c r="B26" s="5" t="s">
        <v>13</v>
      </c>
      <c r="C26" s="6">
        <v>46185</v>
      </c>
      <c r="D26" s="6">
        <v>46188</v>
      </c>
      <c r="E26" s="6"/>
      <c r="F26" s="6"/>
      <c r="G26" s="7">
        <v>1</v>
      </c>
      <c r="H26" s="5" t="s">
        <v>12</v>
      </c>
      <c r="I26" s="35"/>
      <c r="J26" s="36"/>
    </row>
    <row r="27" spans="1:11" x14ac:dyDescent="0.3">
      <c r="A27" s="34" t="s">
        <v>27</v>
      </c>
      <c r="B27" s="5" t="s">
        <v>11</v>
      </c>
      <c r="C27" s="6">
        <v>46234</v>
      </c>
      <c r="D27" s="6">
        <v>46247</v>
      </c>
      <c r="E27" s="6"/>
      <c r="F27" s="6"/>
      <c r="G27" s="7">
        <v>0</v>
      </c>
      <c r="H27" s="5" t="s">
        <v>22</v>
      </c>
      <c r="I27" s="36">
        <v>46321</v>
      </c>
      <c r="J27" s="36"/>
    </row>
    <row r="28" spans="1:11" x14ac:dyDescent="0.3">
      <c r="A28" s="35"/>
      <c r="B28" s="5" t="s">
        <v>13</v>
      </c>
      <c r="C28" s="6">
        <v>46314</v>
      </c>
      <c r="D28" s="6">
        <v>46316</v>
      </c>
      <c r="E28" s="6"/>
      <c r="F28" s="6"/>
      <c r="G28" s="7">
        <v>0</v>
      </c>
      <c r="H28" s="5" t="s">
        <v>22</v>
      </c>
      <c r="I28" s="35"/>
      <c r="J28" s="36"/>
    </row>
    <row r="29" spans="1:11" x14ac:dyDescent="0.3">
      <c r="A29" s="34" t="s">
        <v>28</v>
      </c>
      <c r="B29" s="5" t="s">
        <v>11</v>
      </c>
      <c r="C29" s="6">
        <v>46091</v>
      </c>
      <c r="D29" s="6">
        <v>46100</v>
      </c>
      <c r="E29" s="6"/>
      <c r="F29" s="6"/>
      <c r="G29" s="7">
        <v>1</v>
      </c>
      <c r="H29" s="5" t="s">
        <v>12</v>
      </c>
      <c r="I29" s="36">
        <v>46139</v>
      </c>
      <c r="J29" s="36"/>
    </row>
    <row r="30" spans="1:11" x14ac:dyDescent="0.3">
      <c r="A30" s="35"/>
      <c r="B30" s="5" t="s">
        <v>13</v>
      </c>
      <c r="C30" s="6">
        <v>46120</v>
      </c>
      <c r="D30" s="6">
        <v>46124</v>
      </c>
      <c r="E30" s="6"/>
      <c r="F30" s="6"/>
      <c r="G30" s="7">
        <v>1</v>
      </c>
      <c r="H30" s="5" t="s">
        <v>12</v>
      </c>
      <c r="I30" s="35"/>
      <c r="J30" s="36"/>
    </row>
    <row r="31" spans="1:11" x14ac:dyDescent="0.3">
      <c r="A31" s="34" t="s">
        <v>29</v>
      </c>
      <c r="B31" s="5" t="s">
        <v>11</v>
      </c>
      <c r="C31" s="6">
        <v>46091</v>
      </c>
      <c r="D31" s="6">
        <v>46094</v>
      </c>
      <c r="E31" s="6"/>
      <c r="F31" s="6"/>
      <c r="G31" s="7">
        <v>1</v>
      </c>
      <c r="H31" s="5" t="s">
        <v>12</v>
      </c>
      <c r="I31" s="36">
        <v>46133</v>
      </c>
      <c r="J31" s="36"/>
    </row>
    <row r="32" spans="1:11" x14ac:dyDescent="0.3">
      <c r="A32" s="35"/>
      <c r="B32" s="5" t="s">
        <v>13</v>
      </c>
      <c r="C32" s="6">
        <v>46091</v>
      </c>
      <c r="D32" s="6">
        <v>46094</v>
      </c>
      <c r="E32" s="6"/>
      <c r="F32" s="6"/>
      <c r="G32" s="7">
        <v>1</v>
      </c>
      <c r="H32" s="5" t="s">
        <v>12</v>
      </c>
      <c r="I32" s="35"/>
      <c r="J32" s="36"/>
    </row>
    <row r="33" spans="1:10" x14ac:dyDescent="0.3">
      <c r="A33" s="34" t="s">
        <v>30</v>
      </c>
      <c r="B33" s="5" t="s">
        <v>11</v>
      </c>
      <c r="C33" s="6">
        <v>46091</v>
      </c>
      <c r="D33" s="6">
        <v>46094</v>
      </c>
      <c r="E33" s="6"/>
      <c r="F33" s="6"/>
      <c r="G33" s="7">
        <v>0</v>
      </c>
      <c r="H33" s="5" t="s">
        <v>22</v>
      </c>
      <c r="I33" s="36">
        <v>46295</v>
      </c>
      <c r="J33" s="36"/>
    </row>
    <row r="34" spans="1:10" x14ac:dyDescent="0.3">
      <c r="A34" s="35"/>
      <c r="B34" s="5" t="s">
        <v>13</v>
      </c>
      <c r="C34" s="6">
        <v>46091</v>
      </c>
      <c r="D34" s="6">
        <v>46094</v>
      </c>
      <c r="E34" s="6"/>
      <c r="F34" s="6"/>
      <c r="G34" s="7">
        <v>0</v>
      </c>
      <c r="H34" s="5" t="s">
        <v>22</v>
      </c>
      <c r="I34" s="35"/>
      <c r="J34" s="36"/>
    </row>
    <row r="35" spans="1:10" x14ac:dyDescent="0.3">
      <c r="A35" s="34" t="s">
        <v>31</v>
      </c>
      <c r="B35" s="5" t="s">
        <v>11</v>
      </c>
      <c r="C35" s="6">
        <v>45723</v>
      </c>
      <c r="D35" s="6">
        <v>45729</v>
      </c>
      <c r="E35" s="6"/>
      <c r="F35" s="6"/>
      <c r="G35" s="7">
        <v>1</v>
      </c>
      <c r="H35" s="5" t="s">
        <v>22</v>
      </c>
      <c r="I35" s="36">
        <v>45737</v>
      </c>
      <c r="J35" s="36"/>
    </row>
    <row r="36" spans="1:10" x14ac:dyDescent="0.3">
      <c r="A36" s="35"/>
      <c r="B36" s="5" t="s">
        <v>13</v>
      </c>
      <c r="C36" s="6">
        <v>45729</v>
      </c>
      <c r="D36" s="6">
        <v>45732</v>
      </c>
      <c r="E36" s="6"/>
      <c r="F36" s="6"/>
      <c r="G36" s="7">
        <v>0.9</v>
      </c>
      <c r="H36" s="5" t="s">
        <v>22</v>
      </c>
      <c r="I36" s="35"/>
      <c r="J36" s="36"/>
    </row>
    <row r="37" spans="1:10" x14ac:dyDescent="0.3">
      <c r="A37" s="34" t="s">
        <v>32</v>
      </c>
      <c r="B37" s="5" t="s">
        <v>11</v>
      </c>
      <c r="C37" s="6">
        <v>45723</v>
      </c>
      <c r="D37" s="6">
        <v>45729</v>
      </c>
      <c r="E37" s="6"/>
      <c r="F37" s="6"/>
      <c r="G37" s="7">
        <v>1</v>
      </c>
      <c r="H37" s="5" t="s">
        <v>22</v>
      </c>
      <c r="I37" s="36">
        <v>45737</v>
      </c>
      <c r="J37" s="36"/>
    </row>
    <row r="38" spans="1:10" x14ac:dyDescent="0.3">
      <c r="A38" s="35"/>
      <c r="B38" s="5" t="s">
        <v>13</v>
      </c>
      <c r="C38" s="6">
        <v>45729</v>
      </c>
      <c r="D38" s="6">
        <v>45732</v>
      </c>
      <c r="E38" s="6"/>
      <c r="F38" s="6"/>
      <c r="G38" s="7">
        <v>0.9</v>
      </c>
      <c r="H38" s="5" t="s">
        <v>22</v>
      </c>
      <c r="I38" s="35"/>
      <c r="J38" s="36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8"/>
  <sheetViews>
    <sheetView tabSelected="1" topLeftCell="A5" workbookViewId="0">
      <pane xSplit="1" topLeftCell="B1" activePane="topRight" state="frozen"/>
      <selection pane="topRight" activeCell="G22" sqref="G22"/>
    </sheetView>
  </sheetViews>
  <sheetFormatPr defaultRowHeight="14.4" x14ac:dyDescent="0.3"/>
  <cols>
    <col min="1" max="1" width="37.3320312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28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32" t="s">
        <v>33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2" x14ac:dyDescent="0.3">
      <c r="A2" s="33" t="s">
        <v>34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</row>
    <row r="4" spans="1:22" ht="41.4" x14ac:dyDescent="0.3">
      <c r="A4" s="1" t="s">
        <v>2</v>
      </c>
      <c r="B4" s="1" t="s">
        <v>7</v>
      </c>
      <c r="C4" s="1" t="s">
        <v>70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73</v>
      </c>
      <c r="V4" s="1" t="s">
        <v>78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71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27"/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71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51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71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27"/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71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27"/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71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71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27"/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71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27"/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71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71</v>
      </c>
      <c r="D13" s="16">
        <v>0</v>
      </c>
      <c r="E13" s="17">
        <v>327102.8</v>
      </c>
      <c r="F13" s="17">
        <f>P13*0.3</f>
        <v>36000</v>
      </c>
      <c r="G13" s="17"/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27"/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71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74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71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71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27"/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71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71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71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69</v>
      </c>
      <c r="U19" s="27"/>
      <c r="V19" s="20"/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71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71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U21" s="27"/>
      <c r="V21" s="20"/>
    </row>
    <row r="22" spans="1:22" s="14" customFormat="1" ht="18.600000000000001" x14ac:dyDescent="0.55000000000000004">
      <c r="G22" s="14">
        <v>2444</v>
      </c>
      <c r="V22" s="20"/>
    </row>
    <row r="23" spans="1:22" s="14" customFormat="1" ht="18.600000000000001" x14ac:dyDescent="0.55000000000000004">
      <c r="V23" s="20"/>
    </row>
    <row r="24" spans="1:22" s="14" customFormat="1" ht="18.600000000000001" x14ac:dyDescent="0.55000000000000004">
      <c r="V24" s="20"/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9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</sheetData>
  <mergeCells count="2">
    <mergeCell ref="A1:V1"/>
    <mergeCell ref="A2:V2"/>
  </mergeCells>
  <dataValidations disablePrompts="1" count="2">
    <dataValidation type="list" allowBlank="1" sqref="B5:B39" xr:uid="{00000000-0002-0000-0100-000000000000}">
      <formula1>"Construction,Completed,Planning,On Hold"</formula1>
    </dataValidation>
    <dataValidation type="list" allowBlank="1" showInputMessage="1" showErrorMessage="1" sqref="C5:C200" xr:uid="{362D2387-52AE-4045-809E-2C75EB9CCBFB}">
      <formula1>"Internal,External"</formula1>
    </dataValidation>
  </dataValidations>
  <hyperlinks>
    <hyperlink ref="U14" r:id="rId1" xr:uid="{D16A580D-0F23-4F6F-8F5B-CB904485C44F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>
      <pane ySplit="4" topLeftCell="A5" activePane="bottomLeft" state="frozen"/>
      <selection pane="bottomLeft" activeCell="G18" sqref="G18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4" ht="17.399999999999999" x14ac:dyDescent="0.3">
      <c r="A1" s="32" t="s">
        <v>57</v>
      </c>
      <c r="B1" s="32"/>
      <c r="C1" s="37"/>
      <c r="D1" s="37"/>
    </row>
    <row r="2" spans="1:4" x14ac:dyDescent="0.3">
      <c r="A2" s="33" t="s">
        <v>58</v>
      </c>
      <c r="B2" s="33"/>
      <c r="C2" s="37"/>
      <c r="D2" s="37"/>
    </row>
    <row r="4" spans="1:4" ht="27.6" x14ac:dyDescent="0.3">
      <c r="A4" s="1" t="s">
        <v>72</v>
      </c>
      <c r="B4" s="1" t="s">
        <v>2</v>
      </c>
      <c r="C4" s="1" t="s">
        <v>59</v>
      </c>
      <c r="D4" s="1" t="s">
        <v>60</v>
      </c>
    </row>
    <row r="5" spans="1:4" x14ac:dyDescent="0.3">
      <c r="A5" s="6"/>
      <c r="B5" s="6"/>
      <c r="C5" s="5"/>
      <c r="D5" s="8"/>
    </row>
    <row r="6" spans="1:4" x14ac:dyDescent="0.3">
      <c r="A6" s="6"/>
      <c r="B6" s="6"/>
      <c r="C6" s="5"/>
      <c r="D6" s="8"/>
    </row>
    <row r="7" spans="1:4" x14ac:dyDescent="0.3">
      <c r="A7" s="6">
        <v>46185</v>
      </c>
      <c r="B7" s="5"/>
      <c r="C7" s="5" t="s">
        <v>61</v>
      </c>
      <c r="D7" s="8">
        <v>4</v>
      </c>
    </row>
    <row r="8" spans="1:4" x14ac:dyDescent="0.3">
      <c r="A8" s="6">
        <v>46189</v>
      </c>
      <c r="B8" s="5"/>
      <c r="C8" s="5" t="s">
        <v>61</v>
      </c>
      <c r="D8" s="8">
        <v>4</v>
      </c>
    </row>
    <row r="9" spans="1:4" x14ac:dyDescent="0.3">
      <c r="A9" s="6">
        <v>46183</v>
      </c>
      <c r="B9" s="5"/>
      <c r="C9" s="5" t="s">
        <v>62</v>
      </c>
      <c r="D9" s="8">
        <v>3</v>
      </c>
    </row>
    <row r="10" spans="1:4" x14ac:dyDescent="0.3">
      <c r="A10" s="6">
        <v>46185</v>
      </c>
      <c r="B10" s="5"/>
      <c r="C10" s="5" t="s">
        <v>63</v>
      </c>
      <c r="D10" s="8">
        <v>2.5</v>
      </c>
    </row>
    <row r="11" spans="1:4" x14ac:dyDescent="0.3">
      <c r="A11" s="6">
        <v>46190</v>
      </c>
      <c r="B11" s="5"/>
      <c r="C11" s="5" t="s">
        <v>61</v>
      </c>
      <c r="D11" s="8">
        <v>3</v>
      </c>
    </row>
    <row r="12" spans="1:4" x14ac:dyDescent="0.3">
      <c r="A12" s="6">
        <v>46190</v>
      </c>
      <c r="B12" s="5"/>
      <c r="C12" s="5" t="s">
        <v>63</v>
      </c>
      <c r="D12" s="8">
        <v>3</v>
      </c>
    </row>
    <row r="13" spans="1:4" x14ac:dyDescent="0.3">
      <c r="A13" s="6">
        <v>46192</v>
      </c>
      <c r="B13" s="5"/>
      <c r="C13" s="5" t="s">
        <v>61</v>
      </c>
      <c r="D13" s="8">
        <v>3</v>
      </c>
    </row>
    <row r="14" spans="1:4" x14ac:dyDescent="0.3">
      <c r="A14" s="6">
        <v>46197</v>
      </c>
      <c r="B14" s="5"/>
      <c r="C14" s="5" t="s">
        <v>63</v>
      </c>
      <c r="D14" s="8">
        <v>3</v>
      </c>
    </row>
    <row r="15" spans="1:4" x14ac:dyDescent="0.3">
      <c r="A15" s="3">
        <v>46198</v>
      </c>
      <c r="B15" s="5"/>
      <c r="C15" s="5" t="s">
        <v>61</v>
      </c>
      <c r="D15" s="4">
        <v>6</v>
      </c>
    </row>
    <row r="16" spans="1:4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G18" sqref="G18"/>
    </sheetView>
  </sheetViews>
  <sheetFormatPr defaultRowHeight="14.4" x14ac:dyDescent="0.3"/>
  <cols>
    <col min="1" max="1" width="22.77734375" customWidth="1"/>
    <col min="2" max="2" width="45.77734375" customWidth="1"/>
    <col min="3" max="4" width="13.77734375" customWidth="1"/>
    <col min="5" max="5" width="14.77734375" customWidth="1"/>
  </cols>
  <sheetData>
    <row r="1" spans="1:5" ht="17.399999999999999" x14ac:dyDescent="0.3">
      <c r="A1" s="32" t="s">
        <v>79</v>
      </c>
      <c r="B1" s="32"/>
      <c r="C1" s="32"/>
      <c r="D1" s="32"/>
      <c r="E1" s="32"/>
    </row>
    <row r="2" spans="1:5" x14ac:dyDescent="0.3">
      <c r="A2" s="33" t="s">
        <v>80</v>
      </c>
      <c r="B2" s="33"/>
      <c r="C2" s="33"/>
      <c r="D2" s="33"/>
      <c r="E2" s="33"/>
    </row>
    <row r="4" spans="1:5" x14ac:dyDescent="0.3">
      <c r="A4" s="1" t="s">
        <v>81</v>
      </c>
      <c r="B4" s="1" t="s">
        <v>82</v>
      </c>
      <c r="C4" s="1" t="s">
        <v>4</v>
      </c>
      <c r="D4" s="1" t="s">
        <v>5</v>
      </c>
      <c r="E4" t="s">
        <v>7</v>
      </c>
    </row>
    <row r="5" spans="1:5" x14ac:dyDescent="0.3">
      <c r="A5" s="6" t="s">
        <v>83</v>
      </c>
      <c r="B5" s="6" t="s">
        <v>84</v>
      </c>
      <c r="C5" s="6">
        <v>46174</v>
      </c>
      <c r="D5" s="6">
        <v>46218</v>
      </c>
      <c r="E5" t="s">
        <v>85</v>
      </c>
    </row>
    <row r="6" spans="1:5" x14ac:dyDescent="0.3">
      <c r="A6" s="6" t="s">
        <v>86</v>
      </c>
      <c r="B6" s="6" t="s">
        <v>87</v>
      </c>
      <c r="C6" s="6">
        <v>46152</v>
      </c>
      <c r="D6" s="6">
        <v>46154</v>
      </c>
      <c r="E6" t="s">
        <v>12</v>
      </c>
    </row>
    <row r="7" spans="1:5" x14ac:dyDescent="0.3">
      <c r="A7" s="6"/>
      <c r="B7" s="5"/>
      <c r="C7" s="6"/>
      <c r="D7" s="6"/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2026-07-09T03:33:53Z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